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apillon\Desktop\App_Tarifs\"/>
    </mc:Choice>
  </mc:AlternateContent>
  <bookViews>
    <workbookView xWindow="0" yWindow="0" windowWidth="23040" windowHeight="8268"/>
  </bookViews>
  <sheets>
    <sheet name="Feuil1" sheetId="1" r:id="rId1"/>
  </sheets>
  <definedNames>
    <definedName name="_xlnm._FilterDatabase" localSheetId="0" hidden="1">Feuil1!$A$1:$I$605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4" i="1" l="1"/>
  <c r="F154" i="1"/>
  <c r="E155" i="1"/>
  <c r="F155" i="1" s="1"/>
  <c r="E156" i="1"/>
  <c r="F156" i="1" s="1"/>
  <c r="E157" i="1"/>
  <c r="F157" i="1" s="1"/>
  <c r="E158" i="1"/>
  <c r="F158" i="1"/>
  <c r="E159" i="1"/>
  <c r="F159" i="1"/>
  <c r="E87" i="1"/>
  <c r="F87" i="1"/>
  <c r="E88" i="1"/>
  <c r="F88" i="1" s="1"/>
  <c r="E89" i="1"/>
  <c r="F89" i="1" s="1"/>
  <c r="E90" i="1"/>
  <c r="F90" i="1"/>
  <c r="E91" i="1"/>
  <c r="F91" i="1"/>
  <c r="E92" i="1"/>
  <c r="F92" i="1" s="1"/>
  <c r="E70" i="1"/>
  <c r="F70" i="1" s="1"/>
  <c r="E71" i="1"/>
  <c r="F71" i="1" s="1"/>
  <c r="E72" i="1"/>
  <c r="F72" i="1"/>
  <c r="E73" i="1"/>
  <c r="F73" i="1" s="1"/>
  <c r="E74" i="1"/>
  <c r="F74" i="1"/>
  <c r="E619" i="1" l="1"/>
  <c r="F619" i="1"/>
  <c r="E618" i="1"/>
  <c r="F618" i="1" s="1"/>
  <c r="E614" i="1"/>
  <c r="F614" i="1" s="1"/>
  <c r="E615" i="1"/>
  <c r="F615" i="1" s="1"/>
  <c r="E616" i="1"/>
  <c r="F616" i="1" s="1"/>
  <c r="E617" i="1"/>
  <c r="F617" i="1" s="1"/>
  <c r="E613" i="1"/>
  <c r="E542" i="1"/>
  <c r="F542" i="1" s="1"/>
  <c r="E587" i="1"/>
  <c r="F587" i="1" s="1"/>
  <c r="E584" i="1"/>
  <c r="F584" i="1" s="1"/>
  <c r="E583" i="1"/>
  <c r="F583" i="1" s="1"/>
  <c r="E586" i="1"/>
  <c r="F586" i="1" s="1"/>
  <c r="E585" i="1"/>
  <c r="F585" i="1" s="1"/>
  <c r="E588" i="1" l="1"/>
  <c r="F588" i="1" s="1"/>
  <c r="E589" i="1"/>
  <c r="F589" i="1" s="1"/>
  <c r="E582" i="1"/>
  <c r="F582" i="1" s="1"/>
  <c r="F613" i="1"/>
  <c r="E612" i="1"/>
  <c r="F612" i="1" s="1"/>
  <c r="E611" i="1"/>
  <c r="F611" i="1"/>
  <c r="F607" i="1"/>
  <c r="E610" i="1"/>
  <c r="F610" i="1" s="1"/>
  <c r="E609" i="1"/>
  <c r="F609" i="1" s="1"/>
  <c r="E608" i="1"/>
  <c r="F608" i="1" s="1"/>
  <c r="E607" i="1"/>
  <c r="E606" i="1"/>
  <c r="F606" i="1" s="1"/>
  <c r="E430" i="1" l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429" i="1"/>
  <c r="F429" i="1" s="1"/>
  <c r="E428" i="1"/>
  <c r="E300" i="1"/>
  <c r="F300" i="1" s="1"/>
  <c r="E301" i="1"/>
  <c r="F301" i="1" s="1"/>
  <c r="E302" i="1"/>
  <c r="F302" i="1" s="1"/>
  <c r="E303" i="1"/>
  <c r="F303" i="1" s="1"/>
  <c r="E191" i="1"/>
  <c r="F191" i="1" s="1"/>
  <c r="E36" i="1"/>
  <c r="F36" i="1" s="1"/>
  <c r="E427" i="1"/>
  <c r="F427" i="1" s="1"/>
  <c r="E426" i="1"/>
  <c r="F426" i="1" s="1"/>
  <c r="E425" i="1"/>
  <c r="F425" i="1" s="1"/>
  <c r="E424" i="1"/>
  <c r="F424" i="1" s="1"/>
  <c r="E423" i="1"/>
  <c r="E422" i="1"/>
  <c r="F422" i="1" s="1"/>
  <c r="E421" i="1"/>
  <c r="F421" i="1" s="1"/>
  <c r="E420" i="1"/>
  <c r="F420" i="1" s="1"/>
  <c r="E419" i="1"/>
  <c r="F419" i="1" s="1"/>
  <c r="E418" i="1"/>
  <c r="E417" i="1"/>
  <c r="F417" i="1" s="1"/>
  <c r="E416" i="1"/>
  <c r="F416" i="1" s="1"/>
  <c r="E415" i="1"/>
  <c r="E414" i="1"/>
  <c r="F414" i="1" s="1"/>
  <c r="E413" i="1"/>
  <c r="F413" i="1" s="1"/>
  <c r="E412" i="1"/>
  <c r="F412" i="1" s="1"/>
  <c r="E411" i="1"/>
  <c r="F411" i="1" s="1"/>
  <c r="E410" i="1"/>
  <c r="E409" i="1"/>
  <c r="F409" i="1" s="1"/>
  <c r="E408" i="1"/>
  <c r="F408" i="1" s="1"/>
  <c r="E407" i="1"/>
  <c r="E406" i="1"/>
  <c r="E405" i="1"/>
  <c r="F405" i="1" s="1"/>
  <c r="E404" i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E397" i="1"/>
  <c r="F397" i="1" s="1"/>
  <c r="E396" i="1"/>
  <c r="F396" i="1" s="1"/>
  <c r="E395" i="1"/>
  <c r="F395" i="1" s="1"/>
  <c r="E394" i="1"/>
  <c r="F394" i="1" s="1"/>
  <c r="E393" i="1"/>
  <c r="E392" i="1"/>
  <c r="E391" i="1"/>
  <c r="E390" i="1"/>
  <c r="F390" i="1" s="1"/>
  <c r="E389" i="1"/>
  <c r="E388" i="1"/>
  <c r="F388" i="1" s="1"/>
  <c r="E387" i="1"/>
  <c r="F387" i="1" s="1"/>
  <c r="E386" i="1"/>
  <c r="F386" i="1" s="1"/>
  <c r="E385" i="1"/>
  <c r="E384" i="1"/>
  <c r="F384" i="1" s="1"/>
  <c r="E383" i="1"/>
  <c r="F383" i="1" s="1"/>
  <c r="E382" i="1"/>
  <c r="F382" i="1" s="1"/>
  <c r="E381" i="1"/>
  <c r="E380" i="1"/>
  <c r="F380" i="1" s="1"/>
  <c r="E379" i="1"/>
  <c r="E378" i="1"/>
  <c r="E377" i="1"/>
  <c r="E376" i="1"/>
  <c r="E375" i="1"/>
  <c r="F375" i="1" s="1"/>
  <c r="E374" i="1"/>
  <c r="F374" i="1" s="1"/>
  <c r="E373" i="1"/>
  <c r="E372" i="1"/>
  <c r="F372" i="1" s="1"/>
  <c r="E371" i="1"/>
  <c r="F371" i="1" s="1"/>
  <c r="E370" i="1"/>
  <c r="E369" i="1"/>
  <c r="E368" i="1"/>
  <c r="F368" i="1" s="1"/>
  <c r="E367" i="1"/>
  <c r="F367" i="1" s="1"/>
  <c r="E366" i="1"/>
  <c r="F366" i="1" s="1"/>
  <c r="E365" i="1"/>
  <c r="E364" i="1"/>
  <c r="F364" i="1" s="1"/>
  <c r="E363" i="1"/>
  <c r="E362" i="1"/>
  <c r="E361" i="1"/>
  <c r="E360" i="1"/>
  <c r="F360" i="1" s="1"/>
  <c r="E359" i="1"/>
  <c r="E358" i="1"/>
  <c r="E357" i="1"/>
  <c r="F357" i="1" s="1"/>
  <c r="E356" i="1"/>
  <c r="E355" i="1"/>
  <c r="F355" i="1" s="1"/>
  <c r="E354" i="1"/>
  <c r="E353" i="1"/>
  <c r="E352" i="1"/>
  <c r="E351" i="1"/>
  <c r="E350" i="1"/>
  <c r="F350" i="1" s="1"/>
  <c r="E349" i="1"/>
  <c r="E348" i="1"/>
  <c r="E347" i="1"/>
  <c r="E346" i="1"/>
  <c r="E345" i="1"/>
  <c r="E344" i="1"/>
  <c r="F344" i="1" s="1"/>
  <c r="E343" i="1"/>
  <c r="F343" i="1" s="1"/>
  <c r="E342" i="1"/>
  <c r="E341" i="1"/>
  <c r="F341" i="1" s="1"/>
  <c r="E340" i="1"/>
  <c r="F340" i="1" s="1"/>
  <c r="E339" i="1"/>
  <c r="E338" i="1"/>
  <c r="E337" i="1"/>
  <c r="F337" i="1" s="1"/>
  <c r="E336" i="1"/>
  <c r="F336" i="1" s="1"/>
  <c r="E335" i="1"/>
  <c r="F335" i="1" s="1"/>
  <c r="E334" i="1"/>
  <c r="E333" i="1"/>
  <c r="F333" i="1" s="1"/>
  <c r="E332" i="1"/>
  <c r="E331" i="1"/>
  <c r="E330" i="1"/>
  <c r="E329" i="1"/>
  <c r="E328" i="1"/>
  <c r="F328" i="1" s="1"/>
  <c r="E327" i="1"/>
  <c r="E326" i="1"/>
  <c r="F326" i="1" s="1"/>
  <c r="E325" i="1"/>
  <c r="F325" i="1" s="1"/>
  <c r="E324" i="1"/>
  <c r="E323" i="1"/>
  <c r="E322" i="1"/>
  <c r="F322" i="1" s="1"/>
  <c r="E321" i="1"/>
  <c r="F321" i="1" s="1"/>
  <c r="E320" i="1"/>
  <c r="E319" i="1"/>
  <c r="E318" i="1"/>
  <c r="F318" i="1" s="1"/>
  <c r="E317" i="1"/>
  <c r="F317" i="1" s="1"/>
  <c r="E316" i="1"/>
  <c r="E315" i="1"/>
  <c r="F315" i="1" s="1"/>
  <c r="E314" i="1"/>
  <c r="E313" i="1"/>
  <c r="F313" i="1" s="1"/>
  <c r="E312" i="1"/>
  <c r="F312" i="1" s="1"/>
  <c r="E311" i="1"/>
  <c r="F311" i="1" s="1"/>
  <c r="E310" i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299" i="1"/>
  <c r="F299" i="1" s="1"/>
  <c r="E298" i="1"/>
  <c r="E297" i="1"/>
  <c r="F297" i="1" s="1"/>
  <c r="E296" i="1"/>
  <c r="F296" i="1" s="1"/>
  <c r="E295" i="1"/>
  <c r="F295" i="1" s="1"/>
  <c r="E294" i="1"/>
  <c r="E293" i="1"/>
  <c r="F293" i="1" s="1"/>
  <c r="E292" i="1"/>
  <c r="F292" i="1" s="1"/>
  <c r="E291" i="1"/>
  <c r="F291" i="1" s="1"/>
  <c r="E290" i="1"/>
  <c r="E289" i="1"/>
  <c r="F289" i="1" s="1"/>
  <c r="E288" i="1"/>
  <c r="E287" i="1"/>
  <c r="F287" i="1" s="1"/>
  <c r="E286" i="1"/>
  <c r="F286" i="1" s="1"/>
  <c r="E285" i="1"/>
  <c r="E284" i="1"/>
  <c r="F284" i="1" s="1"/>
  <c r="E283" i="1"/>
  <c r="F283" i="1" s="1"/>
  <c r="E282" i="1"/>
  <c r="E281" i="1"/>
  <c r="F281" i="1" s="1"/>
  <c r="E280" i="1"/>
  <c r="F280" i="1" s="1"/>
  <c r="E279" i="1"/>
  <c r="F279" i="1" s="1"/>
  <c r="E278" i="1"/>
  <c r="F278" i="1" s="1"/>
  <c r="E277" i="1"/>
  <c r="E276" i="1"/>
  <c r="F276" i="1" s="1"/>
  <c r="E275" i="1"/>
  <c r="F275" i="1" s="1"/>
  <c r="E274" i="1"/>
  <c r="E273" i="1"/>
  <c r="F273" i="1" s="1"/>
  <c r="E272" i="1"/>
  <c r="F272" i="1" s="1"/>
  <c r="E271" i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E262" i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E255" i="1"/>
  <c r="F255" i="1" s="1"/>
  <c r="E254" i="1"/>
  <c r="F254" i="1" s="1"/>
  <c r="E253" i="1"/>
  <c r="F253" i="1" s="1"/>
  <c r="E252" i="1"/>
  <c r="E251" i="1"/>
  <c r="F251" i="1" s="1"/>
  <c r="E250" i="1"/>
  <c r="F250" i="1" s="1"/>
  <c r="E249" i="1"/>
  <c r="E248" i="1"/>
  <c r="E247" i="1"/>
  <c r="F247" i="1" s="1"/>
  <c r="E246" i="1"/>
  <c r="F246" i="1" s="1"/>
  <c r="E245" i="1"/>
  <c r="F245" i="1" s="1"/>
  <c r="E244" i="1"/>
  <c r="E243" i="1"/>
  <c r="F243" i="1" s="1"/>
  <c r="E242" i="1"/>
  <c r="F242" i="1" s="1"/>
  <c r="E241" i="1"/>
  <c r="E240" i="1"/>
  <c r="F240" i="1" s="1"/>
  <c r="E239" i="1"/>
  <c r="E238" i="1"/>
  <c r="E237" i="1"/>
  <c r="F237" i="1" s="1"/>
  <c r="E236" i="1"/>
  <c r="E235" i="1"/>
  <c r="E234" i="1"/>
  <c r="E233" i="1"/>
  <c r="E232" i="1"/>
  <c r="F232" i="1" s="1"/>
  <c r="E231" i="1"/>
  <c r="E230" i="1"/>
  <c r="E229" i="1"/>
  <c r="E228" i="1"/>
  <c r="F228" i="1" s="1"/>
  <c r="E227" i="1"/>
  <c r="F227" i="1" s="1"/>
  <c r="E226" i="1"/>
  <c r="F226" i="1" s="1"/>
  <c r="E225" i="1"/>
  <c r="F225" i="1" s="1"/>
  <c r="E224" i="1"/>
  <c r="E223" i="1"/>
  <c r="F223" i="1" s="1"/>
  <c r="E222" i="1"/>
  <c r="F222" i="1" s="1"/>
  <c r="E221" i="1"/>
  <c r="E220" i="1"/>
  <c r="F220" i="1" s="1"/>
  <c r="E219" i="1"/>
  <c r="E218" i="1"/>
  <c r="E217" i="1"/>
  <c r="F217" i="1" s="1"/>
  <c r="E216" i="1"/>
  <c r="E215" i="1"/>
  <c r="F215" i="1" s="1"/>
  <c r="E214" i="1"/>
  <c r="F214" i="1" s="1"/>
  <c r="E213" i="1"/>
  <c r="E212" i="1"/>
  <c r="E211" i="1"/>
  <c r="E210" i="1"/>
  <c r="F210" i="1" s="1"/>
  <c r="E209" i="1"/>
  <c r="E208" i="1"/>
  <c r="F208" i="1" s="1"/>
  <c r="E207" i="1"/>
  <c r="F207" i="1" s="1"/>
  <c r="E206" i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E198" i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0" i="1"/>
  <c r="E189" i="1"/>
  <c r="E188" i="1"/>
  <c r="F188" i="1" s="1"/>
  <c r="E187" i="1"/>
  <c r="F187" i="1" s="1"/>
  <c r="E186" i="1"/>
  <c r="E185" i="1"/>
  <c r="F185" i="1" s="1"/>
  <c r="E184" i="1"/>
  <c r="F184" i="1" s="1"/>
  <c r="E183" i="1"/>
  <c r="E182" i="1"/>
  <c r="F182" i="1" s="1"/>
  <c r="E181" i="1"/>
  <c r="E180" i="1"/>
  <c r="E179" i="1"/>
  <c r="E178" i="1"/>
  <c r="F178" i="1" s="1"/>
  <c r="E177" i="1"/>
  <c r="E176" i="1"/>
  <c r="F176" i="1" s="1"/>
  <c r="E175" i="1"/>
  <c r="E174" i="1"/>
  <c r="E173" i="1"/>
  <c r="F173" i="1" s="1"/>
  <c r="E172" i="1"/>
  <c r="F172" i="1" s="1"/>
  <c r="E171" i="1"/>
  <c r="F171" i="1" s="1"/>
  <c r="E170" i="1"/>
  <c r="E169" i="1"/>
  <c r="F169" i="1" s="1"/>
  <c r="E168" i="1"/>
  <c r="E167" i="1"/>
  <c r="E166" i="1"/>
  <c r="F166" i="1" s="1"/>
  <c r="E165" i="1"/>
  <c r="F165" i="1" s="1"/>
  <c r="E164" i="1"/>
  <c r="F164" i="1" s="1"/>
  <c r="E163" i="1"/>
  <c r="E162" i="1"/>
  <c r="E161" i="1"/>
  <c r="F161" i="1" s="1"/>
  <c r="E160" i="1"/>
  <c r="F160" i="1" s="1"/>
  <c r="E153" i="1"/>
  <c r="E152" i="1"/>
  <c r="E151" i="1"/>
  <c r="F151" i="1" s="1"/>
  <c r="E150" i="1"/>
  <c r="E149" i="1"/>
  <c r="F149" i="1" s="1"/>
  <c r="E148" i="1"/>
  <c r="E147" i="1"/>
  <c r="F147" i="1" s="1"/>
  <c r="E146" i="1"/>
  <c r="E145" i="1"/>
  <c r="E144" i="1"/>
  <c r="F144" i="1" s="1"/>
  <c r="E143" i="1"/>
  <c r="F143" i="1" s="1"/>
  <c r="E142" i="1"/>
  <c r="E141" i="1"/>
  <c r="E140" i="1"/>
  <c r="F140" i="1" s="1"/>
  <c r="E139" i="1"/>
  <c r="E138" i="1"/>
  <c r="F138" i="1" s="1"/>
  <c r="E137" i="1"/>
  <c r="F137" i="1" s="1"/>
  <c r="E136" i="1"/>
  <c r="F136" i="1" s="1"/>
  <c r="E135" i="1"/>
  <c r="E134" i="1"/>
  <c r="F134" i="1" s="1"/>
  <c r="E133" i="1"/>
  <c r="F133" i="1" s="1"/>
  <c r="E132" i="1"/>
  <c r="F132" i="1" s="1"/>
  <c r="E131" i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E123" i="1"/>
  <c r="E122" i="1"/>
  <c r="F122" i="1" s="1"/>
  <c r="E121" i="1"/>
  <c r="F121" i="1" s="1"/>
  <c r="E120" i="1"/>
  <c r="F120" i="1" s="1"/>
  <c r="E119" i="1"/>
  <c r="E118" i="1"/>
  <c r="F118" i="1" s="1"/>
  <c r="E117" i="1"/>
  <c r="F117" i="1" s="1"/>
  <c r="E116" i="1"/>
  <c r="E115" i="1"/>
  <c r="F115" i="1" s="1"/>
  <c r="E114" i="1"/>
  <c r="F114" i="1" s="1"/>
  <c r="E113" i="1"/>
  <c r="E112" i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E105" i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E98" i="1"/>
  <c r="F98" i="1" s="1"/>
  <c r="E97" i="1"/>
  <c r="E96" i="1"/>
  <c r="F96" i="1" s="1"/>
  <c r="E95" i="1"/>
  <c r="F95" i="1" s="1"/>
  <c r="E94" i="1"/>
  <c r="F94" i="1" s="1"/>
  <c r="E93" i="1"/>
  <c r="F93" i="1" s="1"/>
  <c r="E86" i="1"/>
  <c r="E85" i="1"/>
  <c r="F85" i="1" s="1"/>
  <c r="E84" i="1"/>
  <c r="F84" i="1" s="1"/>
  <c r="E83" i="1"/>
  <c r="E82" i="1"/>
  <c r="F82" i="1" s="1"/>
  <c r="E81" i="1"/>
  <c r="F81" i="1" s="1"/>
  <c r="E80" i="1"/>
  <c r="E79" i="1"/>
  <c r="E78" i="1"/>
  <c r="F78" i="1" s="1"/>
  <c r="E77" i="1"/>
  <c r="F77" i="1" s="1"/>
  <c r="E76" i="1"/>
  <c r="E75" i="1"/>
  <c r="E69" i="1"/>
  <c r="F69" i="1" s="1"/>
  <c r="E68" i="1"/>
  <c r="E67" i="1"/>
  <c r="E66" i="1"/>
  <c r="F66" i="1" s="1"/>
  <c r="E65" i="1"/>
  <c r="E64" i="1"/>
  <c r="F64" i="1" s="1"/>
  <c r="E63" i="1"/>
  <c r="F63" i="1" s="1"/>
  <c r="E62" i="1"/>
  <c r="E61" i="1"/>
  <c r="F61" i="1" s="1"/>
  <c r="E60" i="1"/>
  <c r="F60" i="1" s="1"/>
  <c r="E59" i="1"/>
  <c r="E58" i="1"/>
  <c r="F58" i="1" s="1"/>
  <c r="E57" i="1"/>
  <c r="F57" i="1" s="1"/>
  <c r="E56" i="1"/>
  <c r="E55" i="1"/>
  <c r="E54" i="1"/>
  <c r="F54" i="1" s="1"/>
  <c r="E53" i="1"/>
  <c r="F53" i="1" s="1"/>
  <c r="E52" i="1"/>
  <c r="F52" i="1" s="1"/>
  <c r="E51" i="1"/>
  <c r="E50" i="1"/>
  <c r="F50" i="1" s="1"/>
  <c r="E49" i="1"/>
  <c r="F49" i="1" s="1"/>
  <c r="E48" i="1"/>
  <c r="E47" i="1"/>
  <c r="F47" i="1" s="1"/>
  <c r="E46" i="1"/>
  <c r="E45" i="1"/>
  <c r="E44" i="1"/>
  <c r="F44" i="1" s="1"/>
  <c r="E43" i="1"/>
  <c r="E42" i="1"/>
  <c r="F42" i="1" s="1"/>
  <c r="E41" i="1"/>
  <c r="F41" i="1" s="1"/>
  <c r="E40" i="1"/>
  <c r="E39" i="1"/>
  <c r="F39" i="1" s="1"/>
  <c r="E38" i="1"/>
  <c r="F38" i="1" s="1"/>
  <c r="E37" i="1"/>
  <c r="E35" i="1"/>
  <c r="F35" i="1" s="1"/>
  <c r="E34" i="1"/>
  <c r="E33" i="1"/>
  <c r="F33" i="1" s="1"/>
  <c r="E32" i="1"/>
  <c r="F32" i="1" s="1"/>
  <c r="E31" i="1"/>
  <c r="F31" i="1" s="1"/>
  <c r="E30" i="1"/>
  <c r="E29" i="1"/>
  <c r="E28" i="1"/>
  <c r="F28" i="1" s="1"/>
  <c r="E27" i="1"/>
  <c r="F27" i="1" s="1"/>
  <c r="E26" i="1"/>
  <c r="E25" i="1"/>
  <c r="F25" i="1" s="1"/>
  <c r="E24" i="1"/>
  <c r="E23" i="1"/>
  <c r="F23" i="1" s="1"/>
  <c r="E22" i="1"/>
  <c r="F22" i="1" s="1"/>
  <c r="E21" i="1"/>
  <c r="E20" i="1"/>
  <c r="F20" i="1" s="1"/>
  <c r="E19" i="1"/>
  <c r="E18" i="1"/>
  <c r="F18" i="1" s="1"/>
  <c r="E17" i="1"/>
  <c r="F17" i="1" s="1"/>
  <c r="E16" i="1"/>
  <c r="E15" i="1"/>
  <c r="F15" i="1" s="1"/>
  <c r="E14" i="1"/>
  <c r="F14" i="1" s="1"/>
  <c r="E13" i="1"/>
  <c r="F13" i="1" s="1"/>
  <c r="E12" i="1"/>
  <c r="F12" i="1" s="1"/>
  <c r="E11" i="1"/>
  <c r="E10" i="1"/>
  <c r="F10" i="1" s="1"/>
  <c r="E9" i="1"/>
  <c r="E8" i="1"/>
  <c r="F8" i="1" s="1"/>
  <c r="E7" i="1"/>
  <c r="E6" i="1"/>
  <c r="E5" i="1"/>
  <c r="F5" i="1" s="1"/>
  <c r="E4" i="1"/>
  <c r="E3" i="1"/>
  <c r="F3" i="1" s="1"/>
  <c r="E2" i="1"/>
  <c r="F2" i="1" s="1"/>
  <c r="F4" i="1" l="1"/>
  <c r="F235" i="1"/>
  <c r="F324" i="1"/>
  <c r="F174" i="1"/>
  <c r="F349" i="1"/>
  <c r="F354" i="1"/>
  <c r="F385" i="1"/>
  <c r="F179" i="1"/>
  <c r="F65" i="1"/>
  <c r="F124" i="1"/>
  <c r="F146" i="1"/>
  <c r="F168" i="1"/>
  <c r="F9" i="1"/>
  <c r="F46" i="1"/>
  <c r="F190" i="1"/>
  <c r="F218" i="1"/>
  <c r="F231" i="1"/>
  <c r="F233" i="1"/>
  <c r="F238" i="1"/>
  <c r="F106" i="1"/>
  <c r="F148" i="1"/>
  <c r="F183" i="1"/>
  <c r="F234" i="1"/>
  <c r="F274" i="1"/>
  <c r="F319" i="1"/>
  <c r="F327" i="1"/>
  <c r="F363" i="1"/>
  <c r="F377" i="1"/>
  <c r="F392" i="1"/>
  <c r="F423" i="1"/>
  <c r="F7" i="1"/>
  <c r="F11" i="1"/>
  <c r="F21" i="1"/>
  <c r="F99" i="1"/>
  <c r="F211" i="1"/>
  <c r="F216" i="1"/>
  <c r="F230" i="1"/>
  <c r="F262" i="1"/>
  <c r="F294" i="1"/>
  <c r="F334" i="1"/>
  <c r="F339" i="1"/>
  <c r="F358" i="1"/>
  <c r="F40" i="1"/>
  <c r="F62" i="1"/>
  <c r="F68" i="1"/>
  <c r="F141" i="1"/>
  <c r="F145" i="1"/>
  <c r="F153" i="1"/>
  <c r="F175" i="1"/>
  <c r="F199" i="1"/>
  <c r="F244" i="1"/>
  <c r="F271" i="1"/>
  <c r="F359" i="1"/>
  <c r="F398" i="1"/>
  <c r="F213" i="1"/>
  <c r="F316" i="1"/>
  <c r="F365" i="1"/>
  <c r="F37" i="1"/>
  <c r="F55" i="1"/>
  <c r="F59" i="1"/>
  <c r="F79" i="1"/>
  <c r="F123" i="1"/>
  <c r="F135" i="1"/>
  <c r="F142" i="1"/>
  <c r="F224" i="1"/>
  <c r="F236" i="1"/>
  <c r="F241" i="1"/>
  <c r="F249" i="1"/>
  <c r="F282" i="1"/>
  <c r="F330" i="1"/>
  <c r="F389" i="1"/>
  <c r="F404" i="1"/>
  <c r="F26" i="1"/>
  <c r="F48" i="1"/>
  <c r="F97" i="1"/>
  <c r="F150" i="1"/>
  <c r="F177" i="1"/>
  <c r="F186" i="1"/>
  <c r="F209" i="1"/>
  <c r="F221" i="1"/>
  <c r="F256" i="1"/>
  <c r="F346" i="1"/>
  <c r="F352" i="1"/>
  <c r="F6" i="1"/>
  <c r="F16" i="1"/>
  <c r="F30" i="1"/>
  <c r="F34" i="1"/>
  <c r="F45" i="1"/>
  <c r="F56" i="1"/>
  <c r="F76" i="1"/>
  <c r="F80" i="1"/>
  <c r="F105" i="1"/>
  <c r="F113" i="1"/>
  <c r="F139" i="1"/>
  <c r="F163" i="1"/>
  <c r="F170" i="1"/>
  <c r="F332" i="1"/>
  <c r="F361" i="1"/>
  <c r="F406" i="1"/>
  <c r="F229" i="1"/>
  <c r="F348" i="1"/>
  <c r="F391" i="1"/>
  <c r="F167" i="1"/>
  <c r="F19" i="1"/>
  <c r="F24" i="1"/>
  <c r="F29" i="1"/>
  <c r="F43" i="1"/>
  <c r="F51" i="1"/>
  <c r="F67" i="1"/>
  <c r="F75" i="1"/>
  <c r="F83" i="1"/>
  <c r="F86" i="1"/>
  <c r="F116" i="1"/>
  <c r="F119" i="1"/>
  <c r="F131" i="1"/>
  <c r="F152" i="1"/>
  <c r="F180" i="1"/>
  <c r="F206" i="1"/>
  <c r="F219" i="1"/>
  <c r="F248" i="1"/>
  <c r="F263" i="1"/>
  <c r="F298" i="1"/>
  <c r="F314" i="1"/>
  <c r="F320" i="1"/>
  <c r="F329" i="1"/>
  <c r="F347" i="1"/>
  <c r="F378" i="1"/>
  <c r="F381" i="1"/>
  <c r="F407" i="1"/>
  <c r="F288" i="1"/>
  <c r="F162" i="1"/>
  <c r="F239" i="1"/>
  <c r="F418" i="1"/>
  <c r="F112" i="1"/>
  <c r="F198" i="1"/>
  <c r="F252" i="1"/>
  <c r="F290" i="1"/>
  <c r="F310" i="1"/>
  <c r="F331" i="1"/>
  <c r="F338" i="1"/>
  <c r="F345" i="1"/>
  <c r="F362" i="1"/>
  <c r="F369" i="1"/>
  <c r="F376" i="1"/>
  <c r="F415" i="1"/>
  <c r="F342" i="1"/>
  <c r="F356" i="1"/>
  <c r="F373" i="1"/>
  <c r="F189" i="1"/>
  <c r="F285" i="1"/>
  <c r="F323" i="1"/>
  <c r="F353" i="1"/>
  <c r="F370" i="1"/>
  <c r="F393" i="1"/>
  <c r="F181" i="1"/>
  <c r="F212" i="1"/>
  <c r="F277" i="1"/>
  <c r="F351" i="1"/>
  <c r="F379" i="1"/>
  <c r="F410" i="1"/>
  <c r="F428" i="1"/>
</calcChain>
</file>

<file path=xl/sharedStrings.xml><?xml version="1.0" encoding="utf-8"?>
<sst xmlns="http://schemas.openxmlformats.org/spreadsheetml/2006/main" count="2766" uniqueCount="1189">
  <si>
    <t>Nouvelles Références 2025</t>
  </si>
  <si>
    <t>Freinage</t>
  </si>
  <si>
    <t>Désignation 2025 FDL</t>
  </si>
  <si>
    <t>Tarif culture HT au 
01/04/2026</t>
  </si>
  <si>
    <t>Prix net distributeur foire</t>
  </si>
  <si>
    <t>Prix de vente agriculteur</t>
  </si>
  <si>
    <t>Port indicatif</t>
  </si>
  <si>
    <t>Edition tarif papier ( permet l'édition filtrer BRUNEAU)</t>
  </si>
  <si>
    <t>Gamme</t>
  </si>
  <si>
    <t>BRUNEAU</t>
  </si>
  <si>
    <t>PLATEAU</t>
  </si>
  <si>
    <t>BR01031101</t>
  </si>
  <si>
    <t>BR01041101</t>
  </si>
  <si>
    <t>BR01041601</t>
  </si>
  <si>
    <t>40 DLP</t>
  </si>
  <si>
    <t>Plateau fourrager Semi-Porté SP 7009 40 km/h Pneu. R445</t>
  </si>
  <si>
    <t>BR01051101</t>
  </si>
  <si>
    <t>BR01051601</t>
  </si>
  <si>
    <t>Plateau fourrager Semi-Porté SP 8010 40 km/h Pneu. R445</t>
  </si>
  <si>
    <t>BR01341101</t>
  </si>
  <si>
    <t>BR01351101</t>
  </si>
  <si>
    <t>BR01351601</t>
  </si>
  <si>
    <t>Plateau fourrager Semi-porté SP 8013 TDI 40 km/h Pneu. R445</t>
  </si>
  <si>
    <t>BR01361101</t>
  </si>
  <si>
    <t>BR01361601</t>
  </si>
  <si>
    <t>Plateau fourrager Semi-porté SP 9019 TDI 40 km/h Pneu. R445</t>
  </si>
  <si>
    <t>BR01371101</t>
  </si>
  <si>
    <t>BR01371601</t>
  </si>
  <si>
    <t>Plateau fourrager Semi-porté SP 10019 TDI 40 km/h Pneu. R445</t>
  </si>
  <si>
    <t>BR01750101</t>
  </si>
  <si>
    <t>BR01750501</t>
  </si>
  <si>
    <t>BR01752101</t>
  </si>
  <si>
    <t>BR01752501</t>
  </si>
  <si>
    <t>BR01760101</t>
  </si>
  <si>
    <t>BR01760501</t>
  </si>
  <si>
    <t>BR01770101</t>
  </si>
  <si>
    <t>BR01770501</t>
  </si>
  <si>
    <t>BR01871101</t>
  </si>
  <si>
    <t>BR01872111</t>
  </si>
  <si>
    <t>BR01872611</t>
  </si>
  <si>
    <t>Plateau fourrager trainé 10 TD 20 40 km/h Pneu. R385</t>
  </si>
  <si>
    <t>BR01872101</t>
  </si>
  <si>
    <t>BR01872601</t>
  </si>
  <si>
    <t>Plateau fourrager trainé 10 TD 20 40 km/h Pneu. R445</t>
  </si>
  <si>
    <t>BR01873101</t>
  </si>
  <si>
    <t>BR01873601</t>
  </si>
  <si>
    <t>Plateau fourrager trainé 10 TDI 20 40 km/h Pneu. R445</t>
  </si>
  <si>
    <t>BR01891101</t>
  </si>
  <si>
    <t>BR01892111</t>
  </si>
  <si>
    <t>BR01892611</t>
  </si>
  <si>
    <t>Plateau fourrager trainé 12 TD 20 40 km/h Pneu. R385</t>
  </si>
  <si>
    <t>BR01892101</t>
  </si>
  <si>
    <t>BR01892601</t>
  </si>
  <si>
    <t>Plateau fourrager trainé 12 TD 20 40 km/h Pneu. R445</t>
  </si>
  <si>
    <t>BR01893101</t>
  </si>
  <si>
    <t>BR01893601</t>
  </si>
  <si>
    <t>Plateau fourrager trainé 12 TDI 20 40 km/h Pneu. R445</t>
  </si>
  <si>
    <t>BR1011635</t>
  </si>
  <si>
    <t>PLATEAU SPECIAL "MELON" (non homologué sur la voie publique)</t>
  </si>
  <si>
    <t>BR1015101</t>
  </si>
  <si>
    <t>ECHELON COURBE H: 1.35M (l'unité)</t>
  </si>
  <si>
    <t>OPTION</t>
  </si>
  <si>
    <t>BR1015101M</t>
  </si>
  <si>
    <t>MINORATION ECHELON COURBE H: 1.35M (l'unité)</t>
  </si>
  <si>
    <t>BR1015105</t>
  </si>
  <si>
    <t>ECHELON DROIT H: 1.50M (l'unité)</t>
  </si>
  <si>
    <t>BR1015109</t>
  </si>
  <si>
    <t>ECHELON COURBE H: 2.18M (l'unité)</t>
  </si>
  <si>
    <t>BR1015113</t>
  </si>
  <si>
    <t>ECHELON DROIT FIXATION LATERALE H: 1,5M larg 2.50M (l'unité)</t>
  </si>
  <si>
    <t>BR1015113M</t>
  </si>
  <si>
    <t>MINORATION ECHELON DROIT FIXATION LATERALE H: 1,5M larg 2.50M (l'unité)</t>
  </si>
  <si>
    <t>BR1015115</t>
  </si>
  <si>
    <t>ECHELON DROIT FIX. LATERALE H:1,50M larg 2.50M avec échelle (l'unité)</t>
  </si>
  <si>
    <t>BR1015117</t>
  </si>
  <si>
    <t>BUTEE ARRIERE H.30cm pour PALOX</t>
  </si>
  <si>
    <t>BR1016109</t>
  </si>
  <si>
    <t>BEQUILLE HYDRAULIQUE  ALIMENTATION TRACTEUR (ht att mini 50 cm)</t>
  </si>
  <si>
    <t>BR1016113</t>
  </si>
  <si>
    <t>POMPE HYDRAULIQUE MANUELLE POUR BEQUILLE HYDRAULIQUE</t>
  </si>
  <si>
    <t>BR1028146</t>
  </si>
  <si>
    <t>BEQUILLE HYDRAULIQUE COMPAS ALIMENTATION TRACTEUR</t>
  </si>
  <si>
    <t>BR1028147</t>
  </si>
  <si>
    <t>BEQUILLE HYDRAULIQUE COMPAS ET POMPE HYDRAULIQUE MANUELLE</t>
  </si>
  <si>
    <t>BR1016133</t>
  </si>
  <si>
    <t>SABOT D'ATTELAGE</t>
  </si>
  <si>
    <t>BR1016105</t>
  </si>
  <si>
    <t>RESSORT 11 LAMES POUR FLECHE REGLABLE</t>
  </si>
  <si>
    <t>BR1016117</t>
  </si>
  <si>
    <t>SECONDE BOITE A SANGLES A FERMETURE A CLEF</t>
  </si>
  <si>
    <t>BR1016121</t>
  </si>
  <si>
    <t>PAIRE DE MOULINETS AVANT OU ARRIERE LARGEUR 300MM</t>
  </si>
  <si>
    <t>BR1016125</t>
  </si>
  <si>
    <t>MOULINET AVANT OU ARRIERE LARGEUR 600MM</t>
  </si>
  <si>
    <t>BR1016129</t>
  </si>
  <si>
    <t>SANGLE SPANSET 12M/5T + TENDEUR</t>
  </si>
  <si>
    <t>BR1016137</t>
  </si>
  <si>
    <t>GYROPHARE DE RECHANGE</t>
  </si>
  <si>
    <t>BR1016141</t>
  </si>
  <si>
    <t>FOND PLAT DE PLATEAU</t>
  </si>
  <si>
    <t>BR1031106</t>
  </si>
  <si>
    <t>CALE DE ROUE METALLIQUE AVEC SUPPORT</t>
  </si>
  <si>
    <t>BR1081612</t>
  </si>
  <si>
    <t>ROUE COMPLETE 12.5/80/15.3 14 PLYS PROFIL ROUTIER NEUF 6 TROUS</t>
  </si>
  <si>
    <t>ROUES</t>
  </si>
  <si>
    <t>BR1081613</t>
  </si>
  <si>
    <t>ROUE COMPLETE 13.0/65/18 16 PLYS PROFIL ROUTIER NEUF 6 TROUS</t>
  </si>
  <si>
    <t>BR1081639</t>
  </si>
  <si>
    <t>ROUE COMPLETE 385/65/R22.5 NEUF 8 TROUS</t>
  </si>
  <si>
    <t>BR1081646</t>
  </si>
  <si>
    <t>ROUE COMPLETE 445/45/R19.5 PROFIL AGRAIRE NEUF 6 TROUS</t>
  </si>
  <si>
    <t>BR1081846</t>
  </si>
  <si>
    <t>ROUE COMPLETE 445/45/R19.5 PROFIL AGRAIRE NEUF 8 TROUS</t>
  </si>
  <si>
    <t>BR1081645</t>
  </si>
  <si>
    <t>ROUE COMPLETE 445/45/R19.5 PROFIL ROUTIER NEUF 6 TROUS</t>
  </si>
  <si>
    <t>BR1081845</t>
  </si>
  <si>
    <t>ROUE COMPLETE 445/45/R19.5 PROFIL ROUTIER NEUF 8 TROUS</t>
  </si>
  <si>
    <t>BR02040101</t>
  </si>
  <si>
    <t>BETAILLERE</t>
  </si>
  <si>
    <t>BR02041101</t>
  </si>
  <si>
    <t>BR02050101</t>
  </si>
  <si>
    <t>BR02051101</t>
  </si>
  <si>
    <t>BR02150101</t>
  </si>
  <si>
    <t>BR02151101</t>
  </si>
  <si>
    <t>BR02152101</t>
  </si>
  <si>
    <t>BR02160101</t>
  </si>
  <si>
    <t>BR02160601</t>
  </si>
  <si>
    <t>Bétaillère SRB 6134 40 km/h Pneu. (fond peint) avec pont assisté</t>
  </si>
  <si>
    <t>BR02161101</t>
  </si>
  <si>
    <t>BR02161601</t>
  </si>
  <si>
    <t>Bétaillère SRB 6134 40 km/h Pneu. (fond résine) avec pont assisté</t>
  </si>
  <si>
    <t>BR02162101</t>
  </si>
  <si>
    <t>BR02162601</t>
  </si>
  <si>
    <t>Bétaillère SRB 6134 40 km/h Pneu. (fond alu) avec pont assisté</t>
  </si>
  <si>
    <t>BR02170101</t>
  </si>
  <si>
    <t>BR02170601</t>
  </si>
  <si>
    <t>Bétaillère SRB 6894 40 km/h Pneu. (fond peint) avec pont assisté</t>
  </si>
  <si>
    <t>BR02171101</t>
  </si>
  <si>
    <t>BR02171601</t>
  </si>
  <si>
    <t>Bétaillère SRB 6894 40 km/h Pneu. (fond résine) avec pont assisté</t>
  </si>
  <si>
    <t>BR02172101</t>
  </si>
  <si>
    <t>BR02172601</t>
  </si>
  <si>
    <t>Bétaillère SRB 6894 40 km/h Pneu. (fond alu) avec pont assisté</t>
  </si>
  <si>
    <t>BR02250101</t>
  </si>
  <si>
    <t>BR02251101</t>
  </si>
  <si>
    <t>BR02252101</t>
  </si>
  <si>
    <t>BR02260101</t>
  </si>
  <si>
    <t>BR02260601</t>
  </si>
  <si>
    <t xml:space="preserve">Bétaillère SRB 6134 40 km/h Pneu. (fond peint) avec pont hydrau. </t>
  </si>
  <si>
    <t>BR02261101</t>
  </si>
  <si>
    <t>BR02261601</t>
  </si>
  <si>
    <t xml:space="preserve">Bétaillère SRB 6134 40 km/h Pneu. (fond résine) avec pont hydrau. </t>
  </si>
  <si>
    <t>BR02262101</t>
  </si>
  <si>
    <t>BR02262601</t>
  </si>
  <si>
    <t xml:space="preserve">Bétaillère SRB 6134 40 km/h Pneu. (fond alu) avec pont hydrau. </t>
  </si>
  <si>
    <t>BR02270101</t>
  </si>
  <si>
    <t>BR02270601</t>
  </si>
  <si>
    <t xml:space="preserve">Bétaillère SRB 6894 40 km/h Pneu. (fond peint) avec pont hydrau. </t>
  </si>
  <si>
    <t>BR02271101</t>
  </si>
  <si>
    <t>BR02271601</t>
  </si>
  <si>
    <t xml:space="preserve">Bétaillère SRB 6894 40 km/h Pneu. (fond résine) avec pont hydrau. </t>
  </si>
  <si>
    <t>BR02272101</t>
  </si>
  <si>
    <t>BR02272601</t>
  </si>
  <si>
    <t xml:space="preserve">Bétaillère SRB 6894 40 km/h Pneu. (fond alu) avec pont hydrau. </t>
  </si>
  <si>
    <t>BR02470101</t>
  </si>
  <si>
    <t>BR02470601</t>
  </si>
  <si>
    <t xml:space="preserve">Bétaillère XRB 7104 40 km/h Pneu. (fond peint) avec pont hydrau. </t>
  </si>
  <si>
    <t>BR02471101</t>
  </si>
  <si>
    <t>BR02471601</t>
  </si>
  <si>
    <t xml:space="preserve">Bétaillère XRB 7104 40 km/h Pneu. (fond résine) avec pont hydrau. </t>
  </si>
  <si>
    <t>BR02472101</t>
  </si>
  <si>
    <t>BR02472601</t>
  </si>
  <si>
    <t xml:space="preserve">Bétaillère XRB 7104 40 km/h Pneu. (fond alu) avec pont hydrau. </t>
  </si>
  <si>
    <t>BR02473101</t>
  </si>
  <si>
    <t>BR02473601</t>
  </si>
  <si>
    <t xml:space="preserve">Bétaillère XRB 7104 40 km/h Pneu. (tout alu) avec pont hydrau. </t>
  </si>
  <si>
    <t>BR02480101</t>
  </si>
  <si>
    <t>BR02480601</t>
  </si>
  <si>
    <t xml:space="preserve">Bétaillère XRB 8394 40 km/h Pneu. (fond peint) avec pont hydrau. </t>
  </si>
  <si>
    <t>BR02481101</t>
  </si>
  <si>
    <t>BR02481601</t>
  </si>
  <si>
    <t xml:space="preserve">Bétaillère XRB 8394 40 km/h Pneu. (fond résine) avec pont hydrau. </t>
  </si>
  <si>
    <t>BR02482101</t>
  </si>
  <si>
    <t>BR02482601</t>
  </si>
  <si>
    <t xml:space="preserve">Bétaillère XRB 8394 40 km/h Pneu. (fond alu) avec pont hydrau. </t>
  </si>
  <si>
    <t>BR02483101</t>
  </si>
  <si>
    <t>BR02483601</t>
  </si>
  <si>
    <t xml:space="preserve">Bétaillère XRB 8394 40 km/h Pneu. (tout alu) avec pont hydrau. </t>
  </si>
  <si>
    <t>BR02490101</t>
  </si>
  <si>
    <t>BR02490601</t>
  </si>
  <si>
    <t xml:space="preserve">Bétaillère XRB 9894 40 km/h Pneu. (fond peint) avec pont hydrau. </t>
  </si>
  <si>
    <t>BR02491101</t>
  </si>
  <si>
    <t>BR02491601</t>
  </si>
  <si>
    <t xml:space="preserve">Bétaillère XRB 9894 40 km/h Pneu. (fond résine) avec pont hydrau. </t>
  </si>
  <si>
    <t>BR02492101</t>
  </si>
  <si>
    <t>BR02492601</t>
  </si>
  <si>
    <t xml:space="preserve">Bétaillère XRB 9894 40 km/h Pneu. (fond alu) avec pont hydrau. </t>
  </si>
  <si>
    <t>BR02493101</t>
  </si>
  <si>
    <t>BR02493601</t>
  </si>
  <si>
    <t xml:space="preserve">Bétaillère XRB 9894 40 km/h Pneu. (tout alu) avec pont hydrau. </t>
  </si>
  <si>
    <t>BR02570101</t>
  </si>
  <si>
    <t>BR02570601</t>
  </si>
  <si>
    <t>Bétaillère XRB 7104 FP 40 km/h Pneu. (fond peint) avec pont hydrau.</t>
  </si>
  <si>
    <t>BR02571101</t>
  </si>
  <si>
    <t>BR02571601</t>
  </si>
  <si>
    <t xml:space="preserve">Bétaillère XRB 7104 FP 40 km/h Pneu. (fond résine) avec pont hydrau. </t>
  </si>
  <si>
    <t>BR02572101</t>
  </si>
  <si>
    <t>BR02572601</t>
  </si>
  <si>
    <t xml:space="preserve">Bétaillère XRB 7104 FP 40 km/h Pneu. (fond alu) avec pont hydrau. </t>
  </si>
  <si>
    <t>BR02573101</t>
  </si>
  <si>
    <t>BR02573601</t>
  </si>
  <si>
    <t xml:space="preserve">Bétaillère XRB 7104 FP 40 km/h Pneu. (tout alu) avec pont hydrau. </t>
  </si>
  <si>
    <t>BR02580101</t>
  </si>
  <si>
    <t>BR02580601</t>
  </si>
  <si>
    <t>Bétaillère XRB 8394 FP 40 km/h Pneu. (fond peint) avec pont hydrau.</t>
  </si>
  <si>
    <t>BR02581101</t>
  </si>
  <si>
    <t>BR02581601</t>
  </si>
  <si>
    <t xml:space="preserve">Bétaillère XRB 8394 FP 40 km/h Pneu. (fond résine) avec pont hydrau. </t>
  </si>
  <si>
    <t>BR02582101</t>
  </si>
  <si>
    <t>BR02582601</t>
  </si>
  <si>
    <t xml:space="preserve">Bétaillère XRB 8394 FP 40 km/h Pneu. (fond alu) avec pont hydrau. </t>
  </si>
  <si>
    <t>BR02583101</t>
  </si>
  <si>
    <t>BR02583601</t>
  </si>
  <si>
    <t xml:space="preserve">Bétaillère XRB 8394 FP 40 km/h Pneu. (tout alu) avec pont hydrau. </t>
  </si>
  <si>
    <t>BR02590101</t>
  </si>
  <si>
    <t>BR02590601</t>
  </si>
  <si>
    <t>Bétaillère XRB 9894 FP 40 km/h Pneu. (fond peint) avec pont hydrau.</t>
  </si>
  <si>
    <t>BR02591101</t>
  </si>
  <si>
    <t>BR02591601</t>
  </si>
  <si>
    <t>Bétaillère XRB 9894 FP 40 km/h Pneu. (fond résine) avec pont hydrau.</t>
  </si>
  <si>
    <t>BR02592101</t>
  </si>
  <si>
    <t>BR02592601</t>
  </si>
  <si>
    <t>Bétaillère XRB 9894 FP 40 km/h Pneu. (fond alu) avec pont hydrau.</t>
  </si>
  <si>
    <t>BR02593101</t>
  </si>
  <si>
    <t>BR02593601</t>
  </si>
  <si>
    <t>Bétaillère XRB 9894 FP 40 km/h Pneu. (tout alu) avec pont hydrau.</t>
  </si>
  <si>
    <t>BR02650101</t>
  </si>
  <si>
    <t>BR02651101</t>
  </si>
  <si>
    <t>BR02652101</t>
  </si>
  <si>
    <t>BR02660101</t>
  </si>
  <si>
    <t>BR02660601</t>
  </si>
  <si>
    <t>Bétaillère HSRB 6134 40 km/h Pneu. (fond peint)</t>
  </si>
  <si>
    <t>BR02661101</t>
  </si>
  <si>
    <t>BR02661601</t>
  </si>
  <si>
    <t>Bétaillère HSRB 6134 40 km/h Pneu. (fond résine)</t>
  </si>
  <si>
    <t>BR02662101</t>
  </si>
  <si>
    <t>BR02662601</t>
  </si>
  <si>
    <t>Bétaillère HSRB 6134 40 km/h Pneu. (fond alu)</t>
  </si>
  <si>
    <t>BR02670101</t>
  </si>
  <si>
    <t>BR02670601</t>
  </si>
  <si>
    <t>Bétaillère HSRB 6894 40 km/h Pneu. (fond peint)</t>
  </si>
  <si>
    <t>BR02671101</t>
  </si>
  <si>
    <t>BR02671601</t>
  </si>
  <si>
    <t>Bétaillère HSRB 6894 40 km/h Pneu. (fond résine)</t>
  </si>
  <si>
    <t>BR02672101</t>
  </si>
  <si>
    <t>BR02672601</t>
  </si>
  <si>
    <t>Bétaillère HSRB 6894 40 km/h Pneu. (fond alu)</t>
  </si>
  <si>
    <t>BR02870101</t>
  </si>
  <si>
    <t>BR02870601</t>
  </si>
  <si>
    <t>Bétaillère HXRB 7104 40 km/h Pneu. (fond peint)</t>
  </si>
  <si>
    <t>BR02871101</t>
  </si>
  <si>
    <t>BR02871601</t>
  </si>
  <si>
    <t>Bétaillère HXRB 7104 40 km/h Pneu. (fond résine)</t>
  </si>
  <si>
    <t>BR02872101</t>
  </si>
  <si>
    <t>BR02872601</t>
  </si>
  <si>
    <t>Bétaillère HXRB 7104 40 km/h Pneu. (fond alu)</t>
  </si>
  <si>
    <t>BR02873101</t>
  </si>
  <si>
    <t>BR02873601</t>
  </si>
  <si>
    <t>Bétaillère HXRB 7104 40 km/h Pneu. (tout alu)</t>
  </si>
  <si>
    <t>BR02880101</t>
  </si>
  <si>
    <t>BR02880601</t>
  </si>
  <si>
    <t>Bétaillère HXRB 8394 40 km/h Pneu. (fond peint)</t>
  </si>
  <si>
    <t>BR02881101</t>
  </si>
  <si>
    <t>BR02881601</t>
  </si>
  <si>
    <t>Bétaillère HXRB 8394 40 km/h Pneu. (fond résine )</t>
  </si>
  <si>
    <t>BR02882101</t>
  </si>
  <si>
    <t>BR02882601</t>
  </si>
  <si>
    <t>Bétaillère HXRB 8394 40 km/h Pneu. (fond alu)</t>
  </si>
  <si>
    <t>BR02883101</t>
  </si>
  <si>
    <t>BR02883601</t>
  </si>
  <si>
    <t>Bétaillère HXRB 8394 40 km/h Pneu. (tout alu)</t>
  </si>
  <si>
    <t>BR1026107</t>
  </si>
  <si>
    <t>CLOISON TYPE POIDS LOURD COULI. SUR RAIL SRB/XRB/HSRB/HXRB(HORS 5394)</t>
  </si>
  <si>
    <t>BR1026106</t>
  </si>
  <si>
    <t>CLOISON TYPE POIDS LOURD COULISSANTE SUR RAIL POUR SRB ET HSRB 5394</t>
  </si>
  <si>
    <t>BR1026123</t>
  </si>
  <si>
    <t>CLOISON ACCESS COULIS. SUR RAIL PORTE SECTIONNELLE A PARTIR DE 6134</t>
  </si>
  <si>
    <t>BR1026111</t>
  </si>
  <si>
    <t>CLOISON INTERIEURE TOLEE GALVA REGLABLE SUR GLISSIERE AVEC BROCHES</t>
  </si>
  <si>
    <t>BR1026112</t>
  </si>
  <si>
    <t>RAILS SUPPLEMENTAIRES ALLONGE REGLAGE POUR CLOISON TOLEE GALVA</t>
  </si>
  <si>
    <t>BR10281851</t>
  </si>
  <si>
    <t>BACHES AVEC SANDOWS POUR BET. SRB/HSRB 5394 (à commander d'origine)</t>
  </si>
  <si>
    <t>BACHE</t>
  </si>
  <si>
    <t>BR10281891</t>
  </si>
  <si>
    <t>BACHES AVEC SANDOWS POUR BETAILLERE 6134 (à commander d'origine)</t>
  </si>
  <si>
    <t>BR10281931</t>
  </si>
  <si>
    <t>BACHES AVEC SANDOWS POUR BETAILLERE 6894 (à commander d'origine)</t>
  </si>
  <si>
    <t>BR10281951</t>
  </si>
  <si>
    <t>BACHES AVEC SANDOWS POUR BETAILLERE 7104 (à commander d'origine)</t>
  </si>
  <si>
    <t>BR10281971</t>
  </si>
  <si>
    <t>BACHES AVEC SANDOWS POUR BETAILLERE 8394 (à commander d'origine)</t>
  </si>
  <si>
    <t>BR10281991</t>
  </si>
  <si>
    <t>BACHES AVEC SANDOWS POUR BETAILLERE 9894 (à commander d'origine)</t>
  </si>
  <si>
    <t>BR1025121</t>
  </si>
  <si>
    <t>PANNEAUX TOLES GALVA ASSISTES PAR VERINS A GAZ POUR PONT AR. HYD.</t>
  </si>
  <si>
    <t>BR1025123</t>
  </si>
  <si>
    <t>EXTENTION 0,40 M POUR PANNEAUX TOLES DE PONT AR. HYD.</t>
  </si>
  <si>
    <t>BR1025165</t>
  </si>
  <si>
    <t>MAJORATION RESINE SUR PONT PONT RABATTABLE ASSISTE</t>
  </si>
  <si>
    <t>BR1025163</t>
  </si>
  <si>
    <t xml:space="preserve">MAJORATION RESINE SUR PONT RABATTABLE HYDRAULIQUE </t>
  </si>
  <si>
    <t>BR1025161</t>
  </si>
  <si>
    <t>MAJORATION FOND ALU SUR PONT RABATTABLE HYDRAULIQUE</t>
  </si>
  <si>
    <t>BR1028117</t>
  </si>
  <si>
    <t>MARCHE-PIEDS LATERAL A MI-HAUTEUR (LE ML)</t>
  </si>
  <si>
    <t>BR1028121</t>
  </si>
  <si>
    <t>SUPPORT DE ROUE DE SECOURS POUR JANTES 6 ET 8 TROUS</t>
  </si>
  <si>
    <t>BR1028161</t>
  </si>
  <si>
    <t>COFFRE RESINE AVEC FERMETURE A CLEF</t>
  </si>
  <si>
    <t>BR1028109</t>
  </si>
  <si>
    <t>JOINT DE PORTES ET VANNES DE FERMETURE NORME DSV</t>
  </si>
  <si>
    <t>CALE DE ROUE METTALLIQUE AVEC SUPPORT</t>
  </si>
  <si>
    <t>BR1028145</t>
  </si>
  <si>
    <t>PORTE OUTILS A MANCHE</t>
  </si>
  <si>
    <t>BR1028173</t>
  </si>
  <si>
    <t>REPETITEUR DE FEUX A LED ARRIERE BETAILLERE POUR SRB/ HSRB/HXRB</t>
  </si>
  <si>
    <t xml:space="preserve">POMPE HYDRAULIQUE MANUELLE POUR BEQUILLE HYDRAULIQUE </t>
  </si>
  <si>
    <t>BR1028101</t>
  </si>
  <si>
    <t>PANELS 6 LISSES Ø 35 MM Lg. 2,40 M H. 1,60 M</t>
  </si>
  <si>
    <t>BARRIERES</t>
  </si>
  <si>
    <t>BR1028105</t>
  </si>
  <si>
    <t>SUPPORT PANELS DE 2.40M AVANT DE BETAILLERE</t>
  </si>
  <si>
    <t>BR1027101</t>
  </si>
  <si>
    <t>JEU DE BARRIERES 5 L. Ø 42.4MM EXT SUR RAIL EXT L. 3/4M AVEC DECOUPE</t>
  </si>
  <si>
    <t>BR1027103</t>
  </si>
  <si>
    <t>JEU DE BARRIERES 5 L. Ø 42.4MM EXT SUR RAIL EXT L. 3/4M SANS DECOUPE</t>
  </si>
  <si>
    <t>BR1027100</t>
  </si>
  <si>
    <t>JEU DE BARRIERES 5 L. Ø 42.4MM EXT SUR RAIL EXT L. 4/5M SANS DECOUPE</t>
  </si>
  <si>
    <t>BR1027120</t>
  </si>
  <si>
    <t>JEU DE BARRIERES 5L. Ø 42,4MM VARIO EXT L. 3/4M AVEC DECOUPE</t>
  </si>
  <si>
    <t>BR1027119</t>
  </si>
  <si>
    <t>JEU DE BARRIERES 5L. Ø 42,4MM VARIO EXT L. 3/4M SANS DECOUPE</t>
  </si>
  <si>
    <t>BR1027121</t>
  </si>
  <si>
    <t>JEU DE BARRIERES 5L. Ø 42,4MM VARIO EXT L. 4/5M SANS DECOUPE</t>
  </si>
  <si>
    <t>BR1027104</t>
  </si>
  <si>
    <t>JEU DE BARRIERES 5 L. Ø 42.4MM EXT SUR CHAPES L. 4/5M SANS DECOUPE</t>
  </si>
  <si>
    <t>BR1027107</t>
  </si>
  <si>
    <t>JEU DE BARRIERES 5 L. Ø 42.4MM EXT SUR CHAPES L. 3/4M AVEC DECOUPE</t>
  </si>
  <si>
    <t>BR1027109</t>
  </si>
  <si>
    <t>JEU DE BARRIERES 5 L. Ø 42.4MM EXT SUR CHAPES L. 3/4M SANS DECOUPE</t>
  </si>
  <si>
    <t>BR1027115</t>
  </si>
  <si>
    <t>PAIRE DE PIVOTS D'INCLINAISON AVEC RESSORTS POUR BARRIERES SUR CHAPES</t>
  </si>
  <si>
    <t>BR1027117</t>
  </si>
  <si>
    <t>PAIRE DE LISSES INF. POUR BAR. 4/5M SUR RAILS DE BETAILLERE FOND PLAT</t>
  </si>
  <si>
    <t>BR1081641</t>
  </si>
  <si>
    <t>ROUE DROITE COMPLETE 400/60/15.5 14 PLYS PROFIL AGRAIRE NEUF 6 TROUS</t>
  </si>
  <si>
    <t>BR1081642</t>
  </si>
  <si>
    <t>ROUE GAUCHE COMPLETE 400/60/15.5 14 PLYS PROFIL AGRAIRE NEUF 6 TROUS</t>
  </si>
  <si>
    <t>BR1081640</t>
  </si>
  <si>
    <t>ROUE COMPLETE 400/60/15.5 14 PLYS PROFIL ROUTIER NEUF 6 TROUS</t>
  </si>
  <si>
    <t>BR1081637</t>
  </si>
  <si>
    <t>ROUE COMPLETE 385/55R19.5 PROFIL ROUTIER NEUF 6 TROUS</t>
  </si>
  <si>
    <t>BR1081638</t>
  </si>
  <si>
    <t>ROUE COMPLETE 385/55R19.5 PROFIL ROUTIER NEUF 8 TROUS</t>
  </si>
  <si>
    <t>BR05330101</t>
  </si>
  <si>
    <t>BENNE A RIDELLES</t>
  </si>
  <si>
    <t>BR05330111</t>
  </si>
  <si>
    <t>BR05430101</t>
  </si>
  <si>
    <t>BR05540101</t>
  </si>
  <si>
    <t>BR05750101</t>
  </si>
  <si>
    <t>BR05750601</t>
  </si>
  <si>
    <t>BR1053621</t>
  </si>
  <si>
    <t>REHAUSSES RIDELLES 1 PA. H: 0,50m + POTEAUX POUR BRS 4904 ET 5404</t>
  </si>
  <si>
    <t>BR1053625</t>
  </si>
  <si>
    <t>REHAUSSES RIDELLES 2 PA. H: 0,50m + POTEAUX + TRAVERSE POUR BRS 6004</t>
  </si>
  <si>
    <t>BR1053629</t>
  </si>
  <si>
    <t>REHAUSSES RIDELLES 2 PA. H: 0,50m + POTEAUX + TRAVERS POUR BRS 8004 ET 9004</t>
  </si>
  <si>
    <t>BR1053652</t>
  </si>
  <si>
    <t>TRAVERSE CENTRALE OU ARRIERE POUR BENNE A RIDELLES BRS</t>
  </si>
  <si>
    <t>BR1053673</t>
  </si>
  <si>
    <t>ECHELON A FOURRAGE GALVA (ht 1,39m)  POUR REMORQUES BRS, L'UNITE</t>
  </si>
  <si>
    <t>BR1053637</t>
  </si>
  <si>
    <t>PORTE ARRIERE 1 BATTANT H:0,50m. OUV. HAUT/BAS + 2 POTEAUX H:0,50m</t>
  </si>
  <si>
    <t>BR1053641</t>
  </si>
  <si>
    <t>SYSTÈME OUVERTURE AUTOMATIQUE POUR PORTE ARRIÈRE 1 BATTANT H: 0,50M</t>
  </si>
  <si>
    <t>BR1053644</t>
  </si>
  <si>
    <t>PORTE ARRIERE 2 BATTANTS H:1m + TRAPPE A GRAIN + 2 POTEAUX H:1m</t>
  </si>
  <si>
    <t>BR1053648</t>
  </si>
  <si>
    <t>PORTE ARRIERE 2 BAT. PENDULAIRE H:1m + TRAPPE A GRAIN + 2 POT. H:1m</t>
  </si>
  <si>
    <t>BR1053674</t>
  </si>
  <si>
    <t>JEU DE POTEAUX ARRIERE H:0,5M, POUR BRS SI PAS DE PORTE COMMANDEE</t>
  </si>
  <si>
    <t>BR1053678</t>
  </si>
  <si>
    <t>JEU DE POTEAUX ARRIERE H:1M, POUR BRS SI PAS DE PORTE COMMANDEE</t>
  </si>
  <si>
    <t>BR1053656</t>
  </si>
  <si>
    <t>FLECHE A RESSORT 7 LAMES BRS 5404 / 6004 / 9004</t>
  </si>
  <si>
    <t>BR1053664</t>
  </si>
  <si>
    <t>BEQUILLE A ROUE POUR REMORQUE A RIDELLES BRS 6004 / 5404 / 6004</t>
  </si>
  <si>
    <t>BR1081611</t>
  </si>
  <si>
    <t xml:space="preserve">ROUE COMPLETE 11.5/80/15.3 14 PLYS PROFIL ROUTIER NEUF 6 TROUS </t>
  </si>
  <si>
    <t>BR1081836</t>
  </si>
  <si>
    <t>ROUE COMPLETE 385/65/R22.5 PROFIL ROUTIER NEUF 8 TROUS</t>
  </si>
  <si>
    <t>BR03270101</t>
  </si>
  <si>
    <t>PORTE-ENGINS</t>
  </si>
  <si>
    <t>BR03470101</t>
  </si>
  <si>
    <t>BR03470601</t>
  </si>
  <si>
    <t>Porte engins XRS 7017 TDI 40 km/h Pneu. avec ridelles</t>
  </si>
  <si>
    <t>BR03680601</t>
  </si>
  <si>
    <t>BR1031104</t>
  </si>
  <si>
    <t>BR1031114</t>
  </si>
  <si>
    <t>COFFRE AVANT EN RESINE PORTE-ENGINS</t>
  </si>
  <si>
    <t>BR1031110</t>
  </si>
  <si>
    <t>ANNEAU D'ATTELAGE SCHARMULLER</t>
  </si>
  <si>
    <t>BR04440101</t>
  </si>
  <si>
    <t>PORTE-OUTILS</t>
  </si>
  <si>
    <t>BR04660101</t>
  </si>
  <si>
    <t>Forfait changement de monte pneumatique sur véhicule de stock</t>
  </si>
  <si>
    <t>BR1016199</t>
  </si>
  <si>
    <t>BR1127100</t>
  </si>
  <si>
    <t>BENNE 3 POINTS PEINTE L. 1.20 M BASCULEMENT PAR LE 3EME POINT</t>
  </si>
  <si>
    <t>3 POINTS</t>
  </si>
  <si>
    <t>BR1127102</t>
  </si>
  <si>
    <t>BENNE 3 POINTS PEINTE L. 1.60 M BASCULEMENT PAR LE 3EME POINT</t>
  </si>
  <si>
    <t>BR1127104</t>
  </si>
  <si>
    <t>BENNE 3 POINTS PEINTE L. 1.80 M BASCULEMENT PAR LE 3EME POINT</t>
  </si>
  <si>
    <t>BR1127106</t>
  </si>
  <si>
    <t>BENNE 3 POINTS PEINTE L. 2,00  M BASCULEMENT SUR CHASSIS</t>
  </si>
  <si>
    <t>BR1127302</t>
  </si>
  <si>
    <t>BENNE 3 POINTS GALVA L. 1.60 M  BASCULEMENT PAR LE 3EME POINT</t>
  </si>
  <si>
    <t>BR1127304</t>
  </si>
  <si>
    <t>BENNE 3 POINTS GALVA L. 1.80 M  BASCULEMENT PAR LE 3EME POINT</t>
  </si>
  <si>
    <t>BR1128104</t>
  </si>
  <si>
    <t>BARRE RONDE D ATTELAGE POUR MASSE ET RABOTS GM</t>
  </si>
  <si>
    <t>BR1127891</t>
  </si>
  <si>
    <t>REHAUSSE GRILLAGEE AVEC PORTE POUR BENNES 3 POINTS LARG. 1,60M</t>
  </si>
  <si>
    <t>BR1127893</t>
  </si>
  <si>
    <t>REHAUSSE GRILLAGEE AVEC PORTE POUR BENNES 3 POINTS LARG. 1,80M</t>
  </si>
  <si>
    <t>BR1125301</t>
  </si>
  <si>
    <t>GODET 3 POINTS HYDRAULIQUE STANDARD SUP LG 1,8 M - 5 MM</t>
  </si>
  <si>
    <t>BR1125300</t>
  </si>
  <si>
    <t>GODET 3 POINTS HYDRAULIQUE STANDARD SUP LG 2 M - 5 MM</t>
  </si>
  <si>
    <t>BR1125302</t>
  </si>
  <si>
    <t>GODET 3 POINTS HYDRAULIQUE STANDARD SUP LG 2.3 M - 5 MM</t>
  </si>
  <si>
    <t>BR1125304</t>
  </si>
  <si>
    <t>GODET 3 POINTS HYDRAULIQUE STANDARD SUP LG 2.50M - 5 MM</t>
  </si>
  <si>
    <t>BR1125122</t>
  </si>
  <si>
    <t>GODET 3 POINTS HYDRAULIQUE RENFORCE LG 1.8 M - EP. 6 MM</t>
  </si>
  <si>
    <t>BR1125124</t>
  </si>
  <si>
    <t>GODET 3 POINTS HYDRAULIQUE RENFORCE LG 2 M - EP. 6 MM</t>
  </si>
  <si>
    <t>BR1125126</t>
  </si>
  <si>
    <t>GODET 3 POINTS HYDRAULIQUE RENFORCE LG 2.3 M - EP. 6 MM</t>
  </si>
  <si>
    <t>BR1125128</t>
  </si>
  <si>
    <t>GODET 3 POINTS HYDRAULIQUE RENFORCE LG 2.5 M - EP. 6 MM</t>
  </si>
  <si>
    <t>BR1128100</t>
  </si>
  <si>
    <t>MASSE 3 PTS 1000KG 1M X 0,54M X 1,16M</t>
  </si>
  <si>
    <t>BR1128102</t>
  </si>
  <si>
    <t>MASSE 3 PTS 1500KG 1,50M X 0,54M X 1,16M</t>
  </si>
  <si>
    <t>BR1129100</t>
  </si>
  <si>
    <t>PIC BOTTES 3 POINTS 2 DOIGTS Ø40 MM 2 X Lg.1,2 M</t>
  </si>
  <si>
    <t>BR1129102</t>
  </si>
  <si>
    <t>PIC BOTTES 3 POINTS 3 DOIGTS Ø40 MM 2 X Lg.1,2 M, 1 X lg 0,95M</t>
  </si>
  <si>
    <t>BR1123100</t>
  </si>
  <si>
    <t>LEVE-SACS 2000 KG SANS DISTRIBUTEUR</t>
  </si>
  <si>
    <t>BR1123102</t>
  </si>
  <si>
    <t>DISTRIBUTEUR 45 LITRES MINUTE 2 X  DOUBLE EFFET AVEC FLEXIBLES</t>
  </si>
  <si>
    <t>BR1121100</t>
  </si>
  <si>
    <t>RABOT A LISIER 2 M GRAND MODELE PEINT</t>
  </si>
  <si>
    <t>BR1121102</t>
  </si>
  <si>
    <t>RABOT A LISIER 2.25 M GRAND MODELE PEINT</t>
  </si>
  <si>
    <t>BR1121104</t>
  </si>
  <si>
    <t>RABOT A LISIER 2.40 M GRAND MODELE PEINT</t>
  </si>
  <si>
    <t>BR1121302</t>
  </si>
  <si>
    <t>RABOT A LISIER 2 M GRAND MODELE GALVA</t>
  </si>
  <si>
    <t>BR1121304</t>
  </si>
  <si>
    <t>RABOT A LISIER 2.25M GRAND MODELE GALVA</t>
  </si>
  <si>
    <t>BR1121306</t>
  </si>
  <si>
    <t>RABOT A LISIER 2.40M GRAND MODELE GALVA</t>
  </si>
  <si>
    <t>BR1121300</t>
  </si>
  <si>
    <t>RABOT A LISIER 2 M PETIT MODELE GALVA</t>
  </si>
  <si>
    <t>BR1121500</t>
  </si>
  <si>
    <t>PAIRE DE PATINS GALVA DE RABOT GRAND MODELE</t>
  </si>
  <si>
    <t>BR1121502</t>
  </si>
  <si>
    <t>BANDE CAOUTCHOUC 2 M</t>
  </si>
  <si>
    <t>BR1121504</t>
  </si>
  <si>
    <t>BANDE CAOUTCHOUC 2.25 M</t>
  </si>
  <si>
    <t>BR1121506</t>
  </si>
  <si>
    <t>BANDE CAOUTCHOUC 2.40 M</t>
  </si>
  <si>
    <t>AUGES</t>
  </si>
  <si>
    <t>BR1113102</t>
  </si>
  <si>
    <t>AUGE STANDARD PEINTE 2,50 X 0,60 X 0,34 M</t>
  </si>
  <si>
    <t>BR1113104</t>
  </si>
  <si>
    <t>AUGE STANDARD PEINTE 3 X 0.60 X 0,34 M</t>
  </si>
  <si>
    <t>BR1113106</t>
  </si>
  <si>
    <t>AUGE STANDARD PEINTE 3.50 X 0.60 X 0,34 M</t>
  </si>
  <si>
    <t>BR1113108</t>
  </si>
  <si>
    <t>AUGE STANDARD PEINTE 4 X 0.60 X 0,34 M</t>
  </si>
  <si>
    <t>BR1113110</t>
  </si>
  <si>
    <t>AUGE STANDARD PEINTE 4.50 X 0.60 X 0,34 M</t>
  </si>
  <si>
    <t>BR1113112</t>
  </si>
  <si>
    <t>AUGE STANDARD PEINTE 5 X 0.60 X 0,34 M</t>
  </si>
  <si>
    <t>BR1113114</t>
  </si>
  <si>
    <t>AUGE STANDARD PEINTE 6 X 0.60 X 0,34 M</t>
  </si>
  <si>
    <t>BR1113152</t>
  </si>
  <si>
    <t>AUGE STANDARD PEINTE 2.50 X 0.80 X 0,38 M</t>
  </si>
  <si>
    <t>BR1113154</t>
  </si>
  <si>
    <t>AUGE STANDARD PEINTE 3 X 0.80 X 0,38 M</t>
  </si>
  <si>
    <t>BR1113156</t>
  </si>
  <si>
    <t>AUGE STANDARD PEINTE 3.50 X 0.80 X 0,38 M</t>
  </si>
  <si>
    <t>BR1113158</t>
  </si>
  <si>
    <t>AUGE STANDARD PEINTE 4 X 0.80 X 0,38 M</t>
  </si>
  <si>
    <t>BR1113160</t>
  </si>
  <si>
    <t>AUGE STANDARD PEINTE 4.50 X 0.80 X 0,38 M</t>
  </si>
  <si>
    <t>BR1113162</t>
  </si>
  <si>
    <t>AUGE STANDARD PEINTE 5 X 0.80 X 0,38 M</t>
  </si>
  <si>
    <t>BR1113164</t>
  </si>
  <si>
    <t>AUGE STANDARD PEINTE 6 X 0.80 X 0,38 M</t>
  </si>
  <si>
    <t>BR1113304</t>
  </si>
  <si>
    <t>AUGE STANDARD PEINTE INT. ENDUIT BITUMEUX 3 X 0.60 X 0,34 M</t>
  </si>
  <si>
    <t>BR1113306</t>
  </si>
  <si>
    <t>AUGE STANDARD PEINTE INT. ENDUIT BITUMEUX 3.50 X 0.60 X 0,34 M</t>
  </si>
  <si>
    <t>BR1113308</t>
  </si>
  <si>
    <t>AUGE STANDARD PEINTE INT. ENDUIT BITUMEUX 4 X 0.60 X 0,34 M</t>
  </si>
  <si>
    <t>BR1113310</t>
  </si>
  <si>
    <t>AUGE STANDARD PEINTE INT. ENDUIT BITUMEUX 4.50 X 0.60 X 0,34 M</t>
  </si>
  <si>
    <t>BR1113312</t>
  </si>
  <si>
    <t>AUGE STANDARD PEINTE INT. ENDUIT BITUMEUX 5 X 0.60 X 0,34 M</t>
  </si>
  <si>
    <t>BR1113314</t>
  </si>
  <si>
    <t>AUGE STANDARD PEINTE INT. ENDUIT BITUMEUX 6 X 0.60 X 0,34 M</t>
  </si>
  <si>
    <t>BR1113354</t>
  </si>
  <si>
    <t>AUGE STANDARD PEINTE INT. ENDUIT BITUMEUX 3 X 0.80 X 0,38 M</t>
  </si>
  <si>
    <t>BR1113356</t>
  </si>
  <si>
    <t>AUGE STANDARD PEINTE INT. ENDUIT BITUMEUX 3.50 X 0.80 X 0,38 M</t>
  </si>
  <si>
    <t>BR1113358</t>
  </si>
  <si>
    <t>AUGE STANDARD PEINTE INT. ENDUIT BITUMEUX 4 X 0.80 X 0,38 M</t>
  </si>
  <si>
    <t>BR1113360</t>
  </si>
  <si>
    <t>AUGE STANDARD PEINTE INT. ENDUIT BITUMEUX 4.50 X 0.80 X 0,38 M</t>
  </si>
  <si>
    <t>BR1113362</t>
  </si>
  <si>
    <t>AUGE STANDARD PEINTE INT. ENDUIT BITUMEUX 5 X 0.80 X 0,38 M</t>
  </si>
  <si>
    <t>BR1113364</t>
  </si>
  <si>
    <t>AUGE STANDARD PEINTE INT. ENDUIT BITUMEUX 6 X 0.80 X 0,38 M</t>
  </si>
  <si>
    <t>BR1113504</t>
  </si>
  <si>
    <t>AUGE STANDARD GALVA 3 X 0.60 X 0,34 M</t>
  </si>
  <si>
    <t>BR1113508</t>
  </si>
  <si>
    <t>AUGE STANDARD GALVA 4 X 0.60 X 0,34 M</t>
  </si>
  <si>
    <t>BR1113512</t>
  </si>
  <si>
    <t>AUGE STANDARD GALVA 5 X 0.60 X 0,34 M</t>
  </si>
  <si>
    <t>BR1113514</t>
  </si>
  <si>
    <t>AUGE STANDARD GALVA 6 X 0.60 X 0,34 M</t>
  </si>
  <si>
    <t>BR1113554</t>
  </si>
  <si>
    <t>AUGE STANDARD GALVA 3 X 0.80 X 0,38 M</t>
  </si>
  <si>
    <t>BR1113558</t>
  </si>
  <si>
    <t>AUGE STANDARD GALVA 4 X 0.80 X 0,38 M</t>
  </si>
  <si>
    <t>BR1113562</t>
  </si>
  <si>
    <t>AUGE STANDARD GALVA 5 X 0.80 X 0,38 M</t>
  </si>
  <si>
    <t>BR1113564</t>
  </si>
  <si>
    <t>AUGE STANDARD GALVA 6 X 0.80 X 0,38 M</t>
  </si>
  <si>
    <t>BR1115158</t>
  </si>
  <si>
    <t>AUGE STANDARD PEINTE 4 X 0.80 X 0,38 M EN 3 MM</t>
  </si>
  <si>
    <t>BR1115162</t>
  </si>
  <si>
    <t>AUGE STANDARD PEINTE 5 X 0.80 X 0,38 M EN 3 MM</t>
  </si>
  <si>
    <t>BR1115164</t>
  </si>
  <si>
    <t>AUGE STANDARD PEINTE 6 X 0.80 X 0,38 M EN 3 MM</t>
  </si>
  <si>
    <t>BR1115202</t>
  </si>
  <si>
    <t>AUGE STANDARD PEINTE 5 X 1.00 X 0,38 M EN 3 MM</t>
  </si>
  <si>
    <t>BR1115204</t>
  </si>
  <si>
    <t>AUGE STANDARD PEINTE 5 X 1.20 X 0,38 M EN 3 MM</t>
  </si>
  <si>
    <t>BR1115206</t>
  </si>
  <si>
    <t>AUGE STANDARD PEINTE 5 X 1.50 X 0,38 M EN 3 MM</t>
  </si>
  <si>
    <t>BR1115208</t>
  </si>
  <si>
    <t>AUGE STANDARD PEINTE 6 X 1.00 X 0,38 M EN 3 MM</t>
  </si>
  <si>
    <t>BR1115210</t>
  </si>
  <si>
    <t>AUGE STANDARD PEINTE 6 X 1.20 X 0,38 M EN 3 MM</t>
  </si>
  <si>
    <t>BR1115212</t>
  </si>
  <si>
    <t>AUGE STANDARD PEINTE 6 X 1.50 X 0,38 M EN 3 MM</t>
  </si>
  <si>
    <t>BR1115358</t>
  </si>
  <si>
    <t>AUGE STANDARD PEINTE INT. ENDUIT BITUMEUX 4 X 0.80 X 0,38 M EN 3 MM</t>
  </si>
  <si>
    <t>BR1115362</t>
  </si>
  <si>
    <t>AUGE STANDARD PEINTE INT. ENDUIT BITUMEUX  5 X 0.80 X 0,38 M EN 3 MM</t>
  </si>
  <si>
    <t>BR1115364</t>
  </si>
  <si>
    <t>AUGE STANDARD PEINTE INT. ENDUIT BITUMEUX  6 X 0.80 X 0,38 M EN 3 MM</t>
  </si>
  <si>
    <t>BR1115402</t>
  </si>
  <si>
    <t>AUGE STANDARD PEINTE INT. ENDUIT BITUMEUX  5 X 1.00 X 0,38 M EN 3 MM</t>
  </si>
  <si>
    <t>BR1115404</t>
  </si>
  <si>
    <t>AUGE STANDARD PEINTE INT. ENDUIT BITUMEUX  5 X 1.20 X 0,38 M EN 3 MM</t>
  </si>
  <si>
    <t>BR1115406</t>
  </si>
  <si>
    <t>AUGE STANDARD PEINTE INT. ENDUIT BITUMEUX  5 X 1.50 X 0,38 M EN 3 MM</t>
  </si>
  <si>
    <t>BR1115408</t>
  </si>
  <si>
    <t>AUGE STANDARD PEINTE INT. ENDUIT BITUMEUX  6 X 1.00 X 0,38 M EN 3 MM</t>
  </si>
  <si>
    <t>BR1115410</t>
  </si>
  <si>
    <t>AUGE STANDARD PEINTE INT. ENDUIT BITUMEUX  6 X 1.20 X 0,38 M EN 3 MM</t>
  </si>
  <si>
    <t>BR1115412</t>
  </si>
  <si>
    <t>AUGE STANDARD PEINTE INT. ENDUIT BITUMEUX  6 X 1.50 X 0,38 M EN 3 MM</t>
  </si>
  <si>
    <t>BR1115558</t>
  </si>
  <si>
    <t>AUGE STANDARD GALVA 4 X 0.80 X 0,38 M EN 3 MM</t>
  </si>
  <si>
    <t>BR1115562</t>
  </si>
  <si>
    <t>AUGE STANDARD GALVA 5 X 0.80 X 0,38 M EN 3 MM</t>
  </si>
  <si>
    <t>BR1115564</t>
  </si>
  <si>
    <t>AUGE STANDARD GALVA 6 X 0.80 X 0,38 M EN 3 MM</t>
  </si>
  <si>
    <t>BR1115602</t>
  </si>
  <si>
    <t>AUGE STANDARD GALVA 5 X 1.00 X 0,38 M EN 3 MM</t>
  </si>
  <si>
    <t>BR1115604</t>
  </si>
  <si>
    <t>AUGE STANDARD GALVA 5 X 1.20 X 0,38 M EN 3 MM</t>
  </si>
  <si>
    <t>BR1115606</t>
  </si>
  <si>
    <t>AUGE STANDARD GALVA 5 X 1.50 X 0,38 M EN 3 MM</t>
  </si>
  <si>
    <t>BR1115608</t>
  </si>
  <si>
    <t>AUGE STANDARD GALVA 6 X 1.00 X 0,38 M EN 3 MM</t>
  </si>
  <si>
    <t>BR1115610</t>
  </si>
  <si>
    <t>AUGE STANDARD GALVA 6 X 1.20 X 0,38 M EN 3 MM</t>
  </si>
  <si>
    <t>BR1115612</t>
  </si>
  <si>
    <t>AUGE STANDARD GALVA 6 X 1.50 X 0,38 M EN 3 MM</t>
  </si>
  <si>
    <t>BR1111104</t>
  </si>
  <si>
    <t>AUGE SAVANE PEINTE 3 X 0.59 X 0,30 M</t>
  </si>
  <si>
    <t>BR1111106</t>
  </si>
  <si>
    <t>AUGE SAVANE PEINTE 4 X 0.59 X 0,30 M</t>
  </si>
  <si>
    <t>BR1111112</t>
  </si>
  <si>
    <t xml:space="preserve">AUGE SAVANE PEINTE 5 X 0.59 X 0,30 M </t>
  </si>
  <si>
    <t>BR1111114</t>
  </si>
  <si>
    <t>AUGE SAVANE PEINTE 6 X 0.59 X 0,30 M</t>
  </si>
  <si>
    <t>BR1111154</t>
  </si>
  <si>
    <t>AUGE SAVANE PEINTE 3 X 0.78 X 0,30 M</t>
  </si>
  <si>
    <t>BR1111158</t>
  </si>
  <si>
    <t>AUGE SAVANE PEINTE 4 X 0.78 X 0,30 M</t>
  </si>
  <si>
    <t>BR1111162</t>
  </si>
  <si>
    <t>AUGE SAVANE PEINTE 5 X 0.78 X 0,30 M</t>
  </si>
  <si>
    <t>BR1111164</t>
  </si>
  <si>
    <t>AUGE SAVANE PEINTE 6 X 0.78 X 0,30 M</t>
  </si>
  <si>
    <t>BR1111304</t>
  </si>
  <si>
    <t>AUGE SAVANE PEINTE INT. ENDUIT BITUMEUX 3 X 0.59 X 0,30 M</t>
  </si>
  <si>
    <t>BR1111306</t>
  </si>
  <si>
    <t>AUGE SAVANE PEINTE INT. ENDUIT BITUMEUX 4 X 0.59 X 0,30 M</t>
  </si>
  <si>
    <t>BR1111312</t>
  </si>
  <si>
    <t>AUGE SAVANE PEINTE INT. ENDUIT BITUMEUX 5 X 0.59 X 0,30 M</t>
  </si>
  <si>
    <t>BR1111314</t>
  </si>
  <si>
    <t>AUGE SAVANE PEINTE INT. ENDUIT BITUMEUX 6 X 0.59 X 0,30 M</t>
  </si>
  <si>
    <t>BR1111354</t>
  </si>
  <si>
    <t>AUGE SAVANE PEINTE INT. ENDUIT BITUMEUX 3 X 0.78 X 0,30 M</t>
  </si>
  <si>
    <t>BR1111358</t>
  </si>
  <si>
    <t>AUGE SAVANE PEINTE INT. ENDUIT BITUMEUX 4 X 0.78 X 0,30 M</t>
  </si>
  <si>
    <t>BR1111362</t>
  </si>
  <si>
    <t>AUGE SAVANE PEINTE INT. ENDUIT BITUMEUX 5 X 0.78 X 0,30 M</t>
  </si>
  <si>
    <t>BR1111364</t>
  </si>
  <si>
    <t>AUGE SAVANE PEINTE INT. ENDUIT BITUMEUX 6 X 0.78 X 0,30 M</t>
  </si>
  <si>
    <t>BR1111504</t>
  </si>
  <si>
    <t>AUGE SAVANE GALVA 3 X 0.59 X 0,30 M</t>
  </si>
  <si>
    <t>BR1111506</t>
  </si>
  <si>
    <t>AUGE SAVANE GALVA 4 X 0.59 X 0,30 M</t>
  </si>
  <si>
    <t>BR1111512</t>
  </si>
  <si>
    <t>AUGE SAVANE GALVA 5 X 0.59 X 0,30 M</t>
  </si>
  <si>
    <t>BR1111514</t>
  </si>
  <si>
    <t>AUGE SAVANE GALVA 6 X 0.59 X 0,30 M</t>
  </si>
  <si>
    <t>BR1111554</t>
  </si>
  <si>
    <t>AUGE SAVANE GALVA 3 X 0.78 X 0,30 M</t>
  </si>
  <si>
    <t>BR1111558</t>
  </si>
  <si>
    <t>AUGE SAVANE GALVA 4 X 0.78 X 0,30 M</t>
  </si>
  <si>
    <t>BR1111562</t>
  </si>
  <si>
    <t>AUGE SAVANE GALVA 5 X 0.78 X 0,30 M</t>
  </si>
  <si>
    <t>BR1111564</t>
  </si>
  <si>
    <t>AUGE SAVANE GALVA 6 X 0.78 X 0,30 M</t>
  </si>
  <si>
    <t>BR1117102</t>
  </si>
  <si>
    <t>AUGE OVINS PEINTE 2.50 X 0.34 X 0,18 M AVEC PIEDS</t>
  </si>
  <si>
    <t>BR1117104</t>
  </si>
  <si>
    <t>AUGE OVINS PEINTE 3 X 0.34 X 0,18 M AVEC PIEDS</t>
  </si>
  <si>
    <t>BR1117108</t>
  </si>
  <si>
    <t>AUGE OVINS PEINTE 4 X 0.34 X 0,18 M AVEC PIEDS</t>
  </si>
  <si>
    <t>BR1117112</t>
  </si>
  <si>
    <t>AUGE OVINS PEINTE 5 X 0.34 X 0,18 M AVEC PIEDS</t>
  </si>
  <si>
    <t>BR1117502</t>
  </si>
  <si>
    <t>AUGE OVINS GALVA 2.50 X 0.34 X 0,18 M AVEC PIEDS</t>
  </si>
  <si>
    <t>BR1117504</t>
  </si>
  <si>
    <t>AUGE OVINS GALVA 3 X 0.34 X 0,18 M AVEC PIEDS</t>
  </si>
  <si>
    <t>BR1117508</t>
  </si>
  <si>
    <t>AUGE OVINS GALVA 4 X 0.34 X 0,18 M AVEC PIEDS</t>
  </si>
  <si>
    <t>BR1117512</t>
  </si>
  <si>
    <t>AUGE OVINS GALVA 5 X 0.34 X 0,18 M AVEC PIEDS</t>
  </si>
  <si>
    <t>BR1117550</t>
  </si>
  <si>
    <t>AUGE OVINS GALVA  2 X 0.33 X 0.14 M SANS PIED</t>
  </si>
  <si>
    <t>BR1117551</t>
  </si>
  <si>
    <t>AUGE OVINS GALVA  2,50 X 0.33 X 0.14 M SANS PIED</t>
  </si>
  <si>
    <t>BR1117560</t>
  </si>
  <si>
    <t>OPTION PIEDS REGLABLES + BARRE SECURITE AGNEAUX POUR AUGE  2,00M</t>
  </si>
  <si>
    <t>BR1117561</t>
  </si>
  <si>
    <t>OPTION PIEDS REGLABLES + BARRE SECURITE AGNEAUX POUR AUGE 2,50M</t>
  </si>
  <si>
    <t>BR1191010</t>
  </si>
  <si>
    <t>ALU VERT MARTELE BRUNEAU 1 L AVEC 250 ML DE DURCISSEUR</t>
  </si>
  <si>
    <t>BR1191014</t>
  </si>
  <si>
    <t>ROUGE LISSE BRUNEAU 1L AVEC 250 ML DE DURCISSEUR</t>
  </si>
  <si>
    <t>BR1191016</t>
  </si>
  <si>
    <t>ENDUIT BITUMEUX NOIR FOND AUGES 1 L</t>
  </si>
  <si>
    <t>BR1191018</t>
  </si>
  <si>
    <t>APPRET PEINTURE LISSE ET MARTELE 1 L</t>
  </si>
  <si>
    <t>BR1191031</t>
  </si>
  <si>
    <t>KIT DE REPARATION RESINE 0.75M²</t>
  </si>
  <si>
    <t>BRUNEAU MANUTENTION</t>
  </si>
  <si>
    <t>BM1211000117</t>
  </si>
  <si>
    <t>BENNE DE REPRISE TL - LG 1700 MM</t>
  </si>
  <si>
    <t>BM1211000119</t>
  </si>
  <si>
    <t>BENNE DE REPRISE TL - LG 1900 MM</t>
  </si>
  <si>
    <t>BM1211000121</t>
  </si>
  <si>
    <t>BENNE DE REPRISE TL -  LG 2100 MM</t>
  </si>
  <si>
    <t>BM1211000123</t>
  </si>
  <si>
    <t>BENNE DE REPRISE TL - LG 2300 MM</t>
  </si>
  <si>
    <t>BM12110001245</t>
  </si>
  <si>
    <t>BENNE DE REPRISE TL -  LG 2450 MM</t>
  </si>
  <si>
    <t>BM1287631</t>
  </si>
  <si>
    <t>BM1211200119</t>
  </si>
  <si>
    <t>BENNE A TERRE TL - LG 1900 MM</t>
  </si>
  <si>
    <t>BM1211200121</t>
  </si>
  <si>
    <t>BENNE A TERRE TL - LG 2100 MM</t>
  </si>
  <si>
    <t>BM1211200123</t>
  </si>
  <si>
    <t>BENNE A TERRE TL - LG 2300 MM</t>
  </si>
  <si>
    <t>BM12112001245</t>
  </si>
  <si>
    <t>BENNE A TERRE TL - LG 2450 MM</t>
  </si>
  <si>
    <t>BM1287630</t>
  </si>
  <si>
    <t xml:space="preserve">DENT DE RECHANGE A CLAVETER POUR BENNE A TERRE </t>
  </si>
  <si>
    <t>BM1211400120</t>
  </si>
  <si>
    <t>BENNE  GRAND VOLUME TL - 2600L - LG 2100 MM</t>
  </si>
  <si>
    <t>BM1211400125</t>
  </si>
  <si>
    <t>BENNE  GRAND VOLUME TL - 2800L - LG 2300, MM</t>
  </si>
  <si>
    <t>BM1211400124</t>
  </si>
  <si>
    <t>BENNE  GRAND VOLUME TL - 2700L - LG 2400 MM</t>
  </si>
  <si>
    <t>BM1211400130</t>
  </si>
  <si>
    <t>BENNE  GRAND VOLUME TL - 3000L - LG 2450 MM</t>
  </si>
  <si>
    <t>BM1211400135</t>
  </si>
  <si>
    <t>BENNE  GRAND VOLUME TL - 3300L - LG 2700 MM</t>
  </si>
  <si>
    <t>BM1211400140</t>
  </si>
  <si>
    <t>BENNE  GRAND VOLUME TL - 3600L - LG 2900 MM</t>
  </si>
  <si>
    <t>BM1211601119</t>
  </si>
  <si>
    <t>BENNE  A GRAPPIN TL - DGTS ROND - LG 1900 MM</t>
  </si>
  <si>
    <t>BM1211601121</t>
  </si>
  <si>
    <t>BENNE  A GRAPPIN TL - DGTS ROND - LG 2100 MM</t>
  </si>
  <si>
    <t>BM1211601123</t>
  </si>
  <si>
    <t>BENNE  A GRAPPIN TL - DGTS ROND - LG 2300 MM</t>
  </si>
  <si>
    <t>BM12116011245</t>
  </si>
  <si>
    <t>BENNE  A GRAPPIN TL - DGTS ROND - LG 2450 MM</t>
  </si>
  <si>
    <t>BM1287208</t>
  </si>
  <si>
    <t>CLAPET DOUBLE PILOTE POUR GRAPPIN GAMME TL</t>
  </si>
  <si>
    <t>BM1211602119</t>
  </si>
  <si>
    <t>BENNE  A GRAPPIN TL - DGTS SOUDES - LG 1900 MM</t>
  </si>
  <si>
    <t>BM1211602121</t>
  </si>
  <si>
    <t>BENNE  A GRAPPIN TL - DGTS SOUDES - LG 2100 MM</t>
  </si>
  <si>
    <t>BM1211602123</t>
  </si>
  <si>
    <t>BENNE  A GRAPPIN TL - DGTS SOUDES - LG 2300 MM</t>
  </si>
  <si>
    <t>BM12116021245</t>
  </si>
  <si>
    <t>BENNE  A GRAPPIN TL - DGTS SOUDES - LG 2450 MM</t>
  </si>
  <si>
    <t>BM1212601119</t>
  </si>
  <si>
    <t>FOURCHE  A GRAPPIN TL - DGTS ROND - LG 1900 MM</t>
  </si>
  <si>
    <t>BM1212601121</t>
  </si>
  <si>
    <t>FOURCHE  A GRAPPIN TL - DGTS ROND - LG 2100 MM</t>
  </si>
  <si>
    <t>BM1212601123</t>
  </si>
  <si>
    <t>FOURCHE  A GRAPPIN TL - DGTS ROND - LG 2300 MM</t>
  </si>
  <si>
    <t>BM12126011245</t>
  </si>
  <si>
    <t>FOURCHE  A GRAPPIN TL - DGTS ROND - LG 2450 MM</t>
  </si>
  <si>
    <t>BM1212602119</t>
  </si>
  <si>
    <t>FOURCHE  A GRAPPIN TL - DGTS SOUDES - LG 1900 MM</t>
  </si>
  <si>
    <t>BM1212602121</t>
  </si>
  <si>
    <t>FOURCHE  A GRAPPIN TL - DGTS SOUDES - LG 2100 MM</t>
  </si>
  <si>
    <t>BM1212602123</t>
  </si>
  <si>
    <t>FOURCHE  A GRAPPIN TL - DGTS SOUDES - LG 2300 MM</t>
  </si>
  <si>
    <t>BM12126021245</t>
  </si>
  <si>
    <t>FOURCHE  A GRAPPIN TL - DGTS SOUDES - LG 2450 MM</t>
  </si>
  <si>
    <t>BM1221000117</t>
  </si>
  <si>
    <t>BENNE DE REPRISE TRFP - LG 1700 MM</t>
  </si>
  <si>
    <t>BM1221000119</t>
  </si>
  <si>
    <t>BENNE DE REPRISE TRFP - LG 1900 MM</t>
  </si>
  <si>
    <t>BM1221000121</t>
  </si>
  <si>
    <t>BENNE DE REPRISE TRFP - LG 2100 MM</t>
  </si>
  <si>
    <t>BM1221000123</t>
  </si>
  <si>
    <t>BENNE DE REPRISE TRFP - LG 2300 MM</t>
  </si>
  <si>
    <t>BM12210001245</t>
  </si>
  <si>
    <t>BENNE DE REPRISE TRFP - LG 2450 MM</t>
  </si>
  <si>
    <t>BM1221200119</t>
  </si>
  <si>
    <t>BENNE A TERRE TRFP - LG 1900 MM</t>
  </si>
  <si>
    <t>BM1221200121</t>
  </si>
  <si>
    <t>BENNE A TERRE TRFP - LG 2100 MM</t>
  </si>
  <si>
    <t>BM1221200123</t>
  </si>
  <si>
    <t>BENNE A TERRE TRFP - LG 2300 MM</t>
  </si>
  <si>
    <t>BM12212001245</t>
  </si>
  <si>
    <t>BENNE A TERRE TRFP - LG 2450 MM</t>
  </si>
  <si>
    <t>BM1221400120</t>
  </si>
  <si>
    <t>BENNE GRAND VOLUME TRFP - 2600L - LG 2100 MM</t>
  </si>
  <si>
    <t>BM1221400125</t>
  </si>
  <si>
    <t>BENNE GRAND VOLUME TRFP - 2800L - LG 2300 MM</t>
  </si>
  <si>
    <t>BM1221400124</t>
  </si>
  <si>
    <t>BENNE GRAND VOLUME TRFP - 2700L - LG 2400 MM</t>
  </si>
  <si>
    <t>BM1221400130</t>
  </si>
  <si>
    <t>BENNE GRAND VOLUME TRFP - 3000L - LG 2450 MM</t>
  </si>
  <si>
    <t>BM1221601119</t>
  </si>
  <si>
    <t>BENNE  A GRAPPIN TRFP - DGTS ROND - LG 1900 MM</t>
  </si>
  <si>
    <t>BM1221601121</t>
  </si>
  <si>
    <t>BENNE  A GRAPPIN TRFP - DGTS ROND - LG 2100 MM</t>
  </si>
  <si>
    <t>BM1221601123</t>
  </si>
  <si>
    <t>BENNE  A GRAPPIN TRFP - DGTS ROND - LG 2300 MM</t>
  </si>
  <si>
    <t>BM12216011245</t>
  </si>
  <si>
    <t>BENNE  A GRAPPIN TRFP - DGTS ROND - LG 2450 MM</t>
  </si>
  <si>
    <t>BM1221602119</t>
  </si>
  <si>
    <t>BENNE  A GRAPPIN TRFP - DGTS SOUDES - LG 1900 MM</t>
  </si>
  <si>
    <t>BM1221602121</t>
  </si>
  <si>
    <t>BENNE  A GRAPPIN TRFP - DGTS SOUDES - LG 2100 MM</t>
  </si>
  <si>
    <t>BM1221602123</t>
  </si>
  <si>
    <t>BENNE  A GRAPPIN TRFP - DGTS SOUDES - LG 2300 MM</t>
  </si>
  <si>
    <t>BM12216021245</t>
  </si>
  <si>
    <t>BENNE  A GRAPPIN TRFP - DGTS SOUDES - LG 2450 MM</t>
  </si>
  <si>
    <t>BM1222601119</t>
  </si>
  <si>
    <t>FOURCHE  A GRAPPIN TRFP - DGTS ROND - LG 1900 MM</t>
  </si>
  <si>
    <t>BM1222601121</t>
  </si>
  <si>
    <t>FOURCHE  A GRAPPIN TRFP - DGTS ROND - LG 2100 MM</t>
  </si>
  <si>
    <t>BM1222601123</t>
  </si>
  <si>
    <t>FOURCHE  A GRAPPIN TRFP - DGTS ROND - LG 2300 MM</t>
  </si>
  <si>
    <t>BM12226011245</t>
  </si>
  <si>
    <t>FOURCHE  A GRAPPIN TRFP - DGTS ROND - LG 2450 MM</t>
  </si>
  <si>
    <t>BM1222602119</t>
  </si>
  <si>
    <t>FOURCHE  A GRAPPIN TRFP - DGTS SOUDES - LG 1900 MM</t>
  </si>
  <si>
    <t>BM1222602121</t>
  </si>
  <si>
    <t>FOURCHE  A GRAPPIN TRFP - DGTS SOUDES - LG 2100 MM</t>
  </si>
  <si>
    <t>BM1222602123</t>
  </si>
  <si>
    <t>FOURCHE  A GRAPPIN TRFP - DGTS SOUDES - LG 2300 MM</t>
  </si>
  <si>
    <t>BM12226021245</t>
  </si>
  <si>
    <t>FOURCHE  A GRAPPIN TRFP - DGTS SOUDES - LG 2450 MM</t>
  </si>
  <si>
    <t>BM1231000115</t>
  </si>
  <si>
    <t>BENNE DE REPRISE TRMP - LG 1500 MM</t>
  </si>
  <si>
    <t>BM1231000117</t>
  </si>
  <si>
    <t>BENNE DE REPRISE TRMP - LG 1700 MM</t>
  </si>
  <si>
    <t>BM1231000119</t>
  </si>
  <si>
    <t>BENNE DE REPRISE TRMP - LG 1900 MM</t>
  </si>
  <si>
    <t>BM1231000121</t>
  </si>
  <si>
    <t>BENNE DE REPRISE TRMP - LG 2100 MM</t>
  </si>
  <si>
    <t>BM1231000123</t>
  </si>
  <si>
    <t>BENNE DE REPRISE TRMP - LG 2300 MM</t>
  </si>
  <si>
    <t>BM1231200115</t>
  </si>
  <si>
    <t>BENNE  A TERRE TRMP - LG 1500 MM</t>
  </si>
  <si>
    <t>BM1231200117</t>
  </si>
  <si>
    <t>BENNE  A TERRE TRMP - LG 1700 MM</t>
  </si>
  <si>
    <t>BM1231200119</t>
  </si>
  <si>
    <t>BENNE  A TERRE TRMP - LG 1900 MM</t>
  </si>
  <si>
    <t>BM1231200121</t>
  </si>
  <si>
    <t>BENNE  A TERRE TRMP - LG 2100 MM</t>
  </si>
  <si>
    <t>BM1231200123</t>
  </si>
  <si>
    <t>BENNE  A TERRE TRMP - LG 2300 MM</t>
  </si>
  <si>
    <t>BM1231601115</t>
  </si>
  <si>
    <t>BENNE A GRAPPIN TRMP - DOIGTS ROND - LG 1500 MM</t>
  </si>
  <si>
    <t>BM1231601117</t>
  </si>
  <si>
    <t>BENNE A GRAPPIN TRMP - DOIGTS ROND - LG 1700 MM</t>
  </si>
  <si>
    <t>BM1231601119</t>
  </si>
  <si>
    <t>BENNE A GRAPPIN TRMP - DOIGTS ROND - LG 1900 MM</t>
  </si>
  <si>
    <t>BM1231601121</t>
  </si>
  <si>
    <t>BENNE A GRAPPIN TRMP - DOIGTS ROND - LG 2100 MM</t>
  </si>
  <si>
    <t>BM1231601123</t>
  </si>
  <si>
    <t>BENNE A GRAPPIN TRMP - DOIGTS ROND - LG 2300 MM</t>
  </si>
  <si>
    <t>BM1232601115</t>
  </si>
  <si>
    <t>FOURCHE  A GRAPPIN TRMP - DGTS ROND - LG 1500 MM</t>
  </si>
  <si>
    <t>BM1232601117</t>
  </si>
  <si>
    <t>FOURCHE  A GRAPPIN TRMP -  DGTS ROND - LG 1700 MM</t>
  </si>
  <si>
    <t>BM1232601119</t>
  </si>
  <si>
    <t>FOURCHE  A GRAPPIN TRMP -  DGTS ROND - LG 1900 MM</t>
  </si>
  <si>
    <t>BM1232601121</t>
  </si>
  <si>
    <t>FOURCHE  A GRAPPIN TRMP -  DGTS ROND - LG 2100 MM</t>
  </si>
  <si>
    <t>BM1232601123</t>
  </si>
  <si>
    <t>FOURCHE  A GRAPPIN TRMP -  DGTS ROND - LG 2300 MM</t>
  </si>
  <si>
    <t>BM1232401115</t>
  </si>
  <si>
    <t>FOURCHE A FUMIER TRMP - LG 1500 MM</t>
  </si>
  <si>
    <t>BM1232401117</t>
  </si>
  <si>
    <t>FOURCHE A FUMIER TRMP - LG 1700 MM</t>
  </si>
  <si>
    <t>BM1232401119</t>
  </si>
  <si>
    <t>FOURCHE A FUMIER TRMP - LG 1900 MM</t>
  </si>
  <si>
    <t>BM1232401121</t>
  </si>
  <si>
    <t>FOURCHE A FUMIER TRMP - LG 2100 MM</t>
  </si>
  <si>
    <t>BM1232401123</t>
  </si>
  <si>
    <t>FOURCHE A FUMIER TRMP - LG 2300 MM</t>
  </si>
  <si>
    <t>BM1241000108</t>
  </si>
  <si>
    <t>BENNE  DE REPRISE MC - LG 800 MM</t>
  </si>
  <si>
    <t>BM1241000111</t>
  </si>
  <si>
    <t>BENNE  DE REPRISE MC - LG 1100 MM</t>
  </si>
  <si>
    <t>BM1241000113</t>
  </si>
  <si>
    <t>BENNE  DE REPRISE MC - LG 1300 MM</t>
  </si>
  <si>
    <t>BM1241000115</t>
  </si>
  <si>
    <t>BENNE  DE REPRISE MC - LG 1500 MM</t>
  </si>
  <si>
    <t>BM1287632</t>
  </si>
  <si>
    <t>BM1241200108</t>
  </si>
  <si>
    <t>BENNE  A TERRE MC - LG 800 MM</t>
  </si>
  <si>
    <t>BM1241200111</t>
  </si>
  <si>
    <t>BENNE  A TERRE MC - LG 1100 MM</t>
  </si>
  <si>
    <t>BM1241200113</t>
  </si>
  <si>
    <t>BENNE  A TERRE MC - LG 1300 MM</t>
  </si>
  <si>
    <t>BM1241200115</t>
  </si>
  <si>
    <t>BENNE  A TERRE MC - LG 1500 MM</t>
  </si>
  <si>
    <t>BM1241601108</t>
  </si>
  <si>
    <t>BENNE A GRAPPIN DOIGTS RONDS MC - LG 800 MM</t>
  </si>
  <si>
    <t>BM1241601111</t>
  </si>
  <si>
    <t>BENNE A GRAPPIN DOIGTS RONDS MC - LG 1100 MM</t>
  </si>
  <si>
    <t>BM1241601113</t>
  </si>
  <si>
    <t>BENNE A GRAPPIN DOIGTS RONDS MC - LG 1300 MM</t>
  </si>
  <si>
    <t>BM1241601115</t>
  </si>
  <si>
    <t>BENNE A GRAPPIN DOIGTS RONDS MC - LG 1500 MM</t>
  </si>
  <si>
    <t>BM1242601111</t>
  </si>
  <si>
    <t>FOURCHE  A GRAPPIN MC - DGTS ROND - LG 1100 MM</t>
  </si>
  <si>
    <t>BM1242601113</t>
  </si>
  <si>
    <t>FOURCHE  A GRAPPIN MC - DGTS ROND - LG 1300 MM</t>
  </si>
  <si>
    <t>BM1242601115</t>
  </si>
  <si>
    <t>FOURCHE  A GRAPPIN MC - DGTS ROND - LG 1500 MM</t>
  </si>
  <si>
    <t>BM1242401111</t>
  </si>
  <si>
    <t>FOURCHE A FUMIER MC - LG 1100 MM</t>
  </si>
  <si>
    <t>BM1242401113</t>
  </si>
  <si>
    <t>FOURCHE A FUMIER MC - LG 1300 MM</t>
  </si>
  <si>
    <t>BM1242401115</t>
  </si>
  <si>
    <t>FOURCHE A FUMIER MC - LG 1500 MM</t>
  </si>
  <si>
    <t>BM1213404120</t>
  </si>
  <si>
    <t>TABLIER AVEC FOURCHES A PALETTE TL - 2000 Kg</t>
  </si>
  <si>
    <t>BM1213404125</t>
  </si>
  <si>
    <t>TABLIER AVEC FOURCHES A PALETTE TL - 2500 Kg</t>
  </si>
  <si>
    <t>BM1213404130</t>
  </si>
  <si>
    <t>TABLIER AVEC FOURCHES A PALETTE TL - 3000 Kg</t>
  </si>
  <si>
    <t>BM1213404140</t>
  </si>
  <si>
    <t>TABLIER AVEC FOURCHES A PALETTE TL - 4000 Kg</t>
  </si>
  <si>
    <t>BM1223404112</t>
  </si>
  <si>
    <t>TABLIER AVEC FOURCHES A PALETTE TRFP/TRMP - 1200 Kg (Dosseret incomp)</t>
  </si>
  <si>
    <t>BM1223404120</t>
  </si>
  <si>
    <t xml:space="preserve">TABLIER AVEC FOURCHES A PALETTE TRFP/TRMP - 2000 Kg </t>
  </si>
  <si>
    <t>BM1223404125</t>
  </si>
  <si>
    <t xml:space="preserve">TABLIER AVEC FOURCHES A PALETTE TRFP/TRMP - 2500 Kg </t>
  </si>
  <si>
    <t>BM1223404130</t>
  </si>
  <si>
    <t xml:space="preserve">TABLIER AVEC FOURCHES A PALETTE TRFP/TRMP - 3000 Kg </t>
  </si>
  <si>
    <t>BM1223404140</t>
  </si>
  <si>
    <t xml:space="preserve">TABLIER AVEC FOURCHES A PALETTE TRFP/TRMP - 4000 Kg </t>
  </si>
  <si>
    <t>BM1213201113</t>
  </si>
  <si>
    <t>PIC BALLE RENFORCE 2 DENTS - TL</t>
  </si>
  <si>
    <t>BM1213201116</t>
  </si>
  <si>
    <t>PIC BALLE RENFORCE 3 DENTS - TL</t>
  </si>
  <si>
    <t>BM1213201121</t>
  </si>
  <si>
    <t>PIC BALLE RENFORCE 4 DENTS - TL</t>
  </si>
  <si>
    <t>BM1287213</t>
  </si>
  <si>
    <t>REHAUSSE TELESCOPIQUE POUR PIC BALLE RENFORCE</t>
  </si>
  <si>
    <t>BM1212800102</t>
  </si>
  <si>
    <t>PINCE BALLES RONDES ENRUBANNEES ATT TELESCOPIQUE</t>
  </si>
  <si>
    <t>BM1287218</t>
  </si>
  <si>
    <t>CLAPET DOUBLE PILOTE POUR PINCE TELESCOPIQUE</t>
  </si>
  <si>
    <t>BM1213000101</t>
  </si>
  <si>
    <t>CHÂSSIS COMBI GRIFFE TL</t>
  </si>
  <si>
    <t>BM1287645</t>
  </si>
  <si>
    <t>KIT GRIFFE 2*2 DOIGTS</t>
  </si>
  <si>
    <t>BM1287646</t>
  </si>
  <si>
    <t>KIT GRIFFE 2*3 DOIGTS</t>
  </si>
  <si>
    <t>BM1287647</t>
  </si>
  <si>
    <t>KIT GRIFFE 2*4 DOIGTS</t>
  </si>
  <si>
    <t>BM1287648</t>
  </si>
  <si>
    <t>KIT MAINS ENRUBANNAGE</t>
  </si>
  <si>
    <t>BM1287623</t>
  </si>
  <si>
    <t>BM1243201111</t>
  </si>
  <si>
    <t>PIC BALLE STANDARD 2 DOIGTS MC</t>
  </si>
  <si>
    <t>BM1223201111</t>
  </si>
  <si>
    <t>PIC BALLE STANDARD 2 DOIGTS TRFP - TRMP</t>
  </si>
  <si>
    <t>BM1223201113</t>
  </si>
  <si>
    <t>PIC BALLE RENFORCE 2 DENTS - TRFP - TRMP</t>
  </si>
  <si>
    <t>BM1223201116</t>
  </si>
  <si>
    <t>PIC BALLE RENFORCE 3 DENTS - TRFP - TRMP</t>
  </si>
  <si>
    <t>BM1223201121</t>
  </si>
  <si>
    <t>PIC BALLE RENFORCE 4 DENTS - TRFP - TRMP</t>
  </si>
  <si>
    <t>BM1232800102</t>
  </si>
  <si>
    <t>PINCE BALLES RONDES ENRUBANNEES ATT TRACTEUR</t>
  </si>
  <si>
    <t>BM1223000101</t>
  </si>
  <si>
    <t>CHÂSSIS COMBI GRIFFE TRFP/TRMP</t>
  </si>
  <si>
    <t xml:space="preserve">KIT 2 DOIGTS INFERIEURS (Ø35 MM / lg 1100 mm) </t>
  </si>
  <si>
    <t>CONTRE LAME SOUDEE 200*20 MM (400Hb) au mètre (A commander d’origine)</t>
  </si>
  <si>
    <t>CONTRE LAME SOUDEE 110*12 MM (250Hb) au mètre (A commander d’origine)</t>
  </si>
  <si>
    <t>BM1287601</t>
  </si>
  <si>
    <t>DOIGT ROND Ø35mm,LG 680 MM POUR GRAPPIN GAMME TL/TRFP</t>
  </si>
  <si>
    <t>BM1287602</t>
  </si>
  <si>
    <t>DOIGT ROND Ø45mm,LG 1200 MM POUR FOURCHE/PIC RENFORCE GAMME TL/TRFP</t>
  </si>
  <si>
    <t>BM1287603</t>
  </si>
  <si>
    <t>DOIGT ROND Ø28,LG 480 MM POUR GRAPPIN GAMME TRMP ET PINCE</t>
  </si>
  <si>
    <t>BM1287604</t>
  </si>
  <si>
    <t>DOIGT ROND Ø 25,LG 480 MM POUR GRAPPIN GAMME MC</t>
  </si>
  <si>
    <t>BM1287605</t>
  </si>
  <si>
    <t>DOIGT ROND POUR FOURCHE ET PIC STANDARD Ø35MM - LG 1100 MM</t>
  </si>
  <si>
    <t>BM1287606</t>
  </si>
  <si>
    <t xml:space="preserve">DOIGT ROND Ø 25,LG 850 MM POUR FOURCHE GAMME MC </t>
  </si>
  <si>
    <t>BM1287609</t>
  </si>
  <si>
    <t>VERIN POUR BENNE A GRAPPIN Ø40 MM X 70 MM GAMME TL/TRFP</t>
  </si>
  <si>
    <t>BM1287612</t>
  </si>
  <si>
    <t>VERIN POUR BENNE A GRAPPIN GAMME TRMP Ø30 MM X 50 MM</t>
  </si>
  <si>
    <t>BM1287617</t>
  </si>
  <si>
    <t>VERIN POUR BENNE POUR PINCE ENRUBANNAGE Ø30 MM X 60 MM</t>
  </si>
  <si>
    <t>BM1287611</t>
  </si>
  <si>
    <t>AXE TETE DE VERIN Ø35 MM - LG 105 MM (AVEC GRAISSEUR) GAMME TL/TRFP</t>
  </si>
  <si>
    <t>BM1287635</t>
  </si>
  <si>
    <t>ATTELAGE DEM. POUR PINCE ET PIC EURO/MX (MARQUE A PRECISER)</t>
  </si>
  <si>
    <t>BM1287636</t>
  </si>
  <si>
    <t>ATTELAGE DEM. POUR PINCE ET PIC TELESCOPIQUES (MARQUE A PRECISER)</t>
  </si>
  <si>
    <t>BM1287637</t>
  </si>
  <si>
    <t>ATTELAGE DEM. POUR PINCE ET PIC POUR MINI CHARGEUSE (MARQUE A PRECISER)</t>
  </si>
  <si>
    <t>BM1287626</t>
  </si>
  <si>
    <t>FOURCHE 80*40 CAPACITE 1000 KG (à l'unité) POUR TRANSPALETTE</t>
  </si>
  <si>
    <t>BM1287627</t>
  </si>
  <si>
    <t>FOURCHE 100*40 CAPACITE 1250 KG (à l'unité) POUR TRANSPALETTE</t>
  </si>
  <si>
    <t>BM1287628</t>
  </si>
  <si>
    <t>FOURCHE 100*45 CAPACITE 1500 KG (à l'unité) POUR TRANSPALETTE</t>
  </si>
  <si>
    <t>BM1287629</t>
  </si>
  <si>
    <t>FOURCHE 100*45 CAPACITE 2000 KG (à l'unité) POUR TRANSPALETTE</t>
  </si>
  <si>
    <t>BM1287639</t>
  </si>
  <si>
    <t xml:space="preserve">RESSORT DE RAPPEL POUR PINCE </t>
  </si>
  <si>
    <t>BM1287650</t>
  </si>
  <si>
    <t>CLAPET DOUBLE PILOTE (pièce de rechange)</t>
  </si>
  <si>
    <t>BM1287633</t>
  </si>
  <si>
    <t>LIMITEUR DE PRESSION (0-350 bars)</t>
  </si>
  <si>
    <t>BM1287634</t>
  </si>
  <si>
    <t>PEINTURE GRIS BRUNEAU MANUTENTION 1L AVEC DOSETTE DE DURCISSEUR</t>
  </si>
  <si>
    <t>BM1287640</t>
  </si>
  <si>
    <t>LAME DEMONTABLE REVERSIBLE 200 MM X 20 MM - 400 Hb (LE METRE)</t>
  </si>
  <si>
    <t>BM1287641</t>
  </si>
  <si>
    <t xml:space="preserve">VIS ET ECROU BORGNE (à l'unité) POUR LAME DEMONTABLE </t>
  </si>
  <si>
    <t>DOIGT ROND Ø35 MM,LG 680 MM POUR GRAPPIN GAMME TL/TRFP</t>
  </si>
  <si>
    <t>DOIGT ROND Ø45mm,LG 1200 MM POUR FOURCHE GAMME TL/TRFP ET PIC</t>
  </si>
  <si>
    <t>BM1287654</t>
  </si>
  <si>
    <t>VERIN POUR BENNE A GRAPPIN Ø40 MM X 70 MM C220 GAMME TL/TRFP</t>
  </si>
  <si>
    <t>BM1287642</t>
  </si>
  <si>
    <t>VERIN POUR BENNE A GRAPPIN GAMME TR Ø40 MM X 70 MM A CHAPE</t>
  </si>
  <si>
    <t>BM1287643</t>
  </si>
  <si>
    <t>AXE DE PIVOT DE GRIFFE Ø40 MM - LG 177 MM (AVEC GRAISSEUR)</t>
  </si>
  <si>
    <t>PIECES DETACHEES</t>
  </si>
  <si>
    <t>PINCE</t>
  </si>
  <si>
    <t>PIC</t>
  </si>
  <si>
    <t>BENNE DE REPRISE</t>
  </si>
  <si>
    <t>BENNE A TERRE</t>
  </si>
  <si>
    <t>BENNE GRAND VOLUME</t>
  </si>
  <si>
    <t>BENNE A GRAPPIN</t>
  </si>
  <si>
    <t>TL</t>
  </si>
  <si>
    <t>TRFP</t>
  </si>
  <si>
    <t>TRMP</t>
  </si>
  <si>
    <t>MC</t>
  </si>
  <si>
    <t>TRFP / TRMP / MC</t>
  </si>
  <si>
    <t>FOURCHE A GRAPPIN</t>
  </si>
  <si>
    <t>FOURCHE A FUMIER</t>
  </si>
  <si>
    <t>BENNE A GRAPPIN DOIGTS RONDS MC - LG 900 MM</t>
  </si>
  <si>
    <t>TABLIER</t>
  </si>
  <si>
    <t>TRFP/TRMP</t>
  </si>
  <si>
    <t>TRFP/TRMP/TL</t>
  </si>
  <si>
    <t>Benne à ridelles BRS 8004 40 km/h Pneu. sans porte arrière</t>
  </si>
  <si>
    <t>PLATEAU SALON 12 TDI 20</t>
  </si>
  <si>
    <t>PLATEAU SALON T 10012</t>
  </si>
  <si>
    <t>PLATEAU SALON SP 8010 + BEQUILLE HYDRAU (pas encore homolo)</t>
  </si>
  <si>
    <t>BRR 9004 SALON + REHAUSSE 0,50 + PORTE 2 BATTANTS</t>
  </si>
  <si>
    <t>BENNE 3 POINTS GALVA 1,60 SALON + REHAUSSES</t>
  </si>
  <si>
    <t>GODET HYDRAULIQUE 2,5M SALON 5 MM</t>
  </si>
  <si>
    <t>BENNE A GRAPPIN TL 2,45 M SALON DOIGTS RONDS + JOUE ATT BOB CAT</t>
  </si>
  <si>
    <t>BM1287206</t>
  </si>
  <si>
    <t>JOUES POUR BDR TL/TRFP</t>
  </si>
  <si>
    <t>JOUES POUR BAG TL/TRFP</t>
  </si>
  <si>
    <t>BM1287200</t>
  </si>
  <si>
    <t>BM1287624</t>
  </si>
  <si>
    <t>CASQUETTE POUR BAG TL/TRFP</t>
  </si>
  <si>
    <t>BM1287207</t>
  </si>
  <si>
    <t>DOIGTS LATERAUX POUR GRAPPIN TL/TRFP</t>
  </si>
  <si>
    <t>DOIGTS LATERAUX POUR GRAPPIN TRMP</t>
  </si>
  <si>
    <t>BM1287214</t>
  </si>
  <si>
    <t>BM1287215</t>
  </si>
  <si>
    <t>JOUES POUR BAG TRMP</t>
  </si>
  <si>
    <t>BM1287216</t>
  </si>
  <si>
    <t>JOUES POUR BAG MC</t>
  </si>
  <si>
    <t>BM1287217</t>
  </si>
  <si>
    <t>DOIGTS LATERAUX POUR GRAPPIN MC</t>
  </si>
  <si>
    <t>BM1287622</t>
  </si>
  <si>
    <t>DOSSERET SOUDE POUR TABLIER</t>
  </si>
  <si>
    <t>BENNE A GRAPPIN MC 0,8M SALON DOIGTS ROND + JOUES ATT EURO</t>
  </si>
  <si>
    <t>BENNE A GRAPPIN TRMP 2,10M SALON DOIGTS ROND + JOUES ATT EURO</t>
  </si>
  <si>
    <t>FOURCHE A GRAPPIN  TL 2,30 M SALON DOIGTS RONDS + DENTS LATERALES ATT MANITOU</t>
  </si>
  <si>
    <t>BENNE A TERRE TL 2,3M SALON ATT MANITOU</t>
  </si>
  <si>
    <t>BENNE GRAND VOLUME TL 2,45M/3000L SALON ATT MANITOU</t>
  </si>
  <si>
    <t>PINCE ENRUBANNAGE TRMP SALON ATT EURO</t>
  </si>
  <si>
    <t>PINCE MODULAIRE TRMP SALON 2X4/MAINS/PIC ATT EURO</t>
  </si>
  <si>
    <t xml:space="preserve">BRUNEAU </t>
  </si>
  <si>
    <t>BRR</t>
  </si>
  <si>
    <t>BENNE</t>
  </si>
  <si>
    <t>GODET</t>
  </si>
  <si>
    <t>FOURCHE</t>
  </si>
  <si>
    <t>Plateau fourrager Semi-Porté SP 6007 25 km/h Hyd. R445</t>
  </si>
  <si>
    <t>Plateau fourrager Semi-Porté SP 7009 25 km/h Hyd. R445</t>
  </si>
  <si>
    <t>Plateau fourrager Semi-Porté SP 8010 25 km/h Hyd. R445</t>
  </si>
  <si>
    <t>Plateau fourrager Semi-porté SP 7013 TDI 25 km/h Hyd. R445</t>
  </si>
  <si>
    <t>Plateau fourrager Semi-porté SP 8013 TDI 25 km/h Hyd. R445</t>
  </si>
  <si>
    <t>Plateau fourrager Semi-porté SP 9015 TDI 25 km/h Hyd. R445</t>
  </si>
  <si>
    <t>Plateau fourrager Semi-porté SP 10015 TDI 25 km/h Hyd. R445</t>
  </si>
  <si>
    <t>Plateau fourrager trainé T 8008 25 km/h Hyd. R12,5</t>
  </si>
  <si>
    <t>Plateau fourrager trainé T 8008 25 km/h Pneu. R12,5</t>
  </si>
  <si>
    <t>Plateau fourrager trainé T 8012 25 km/h Hyd. R445</t>
  </si>
  <si>
    <t>Plateau fourrager trainé T 8012 25 km/h Pneu. R445</t>
  </si>
  <si>
    <t>Plateau fourrager trainé T 9012 25 km/h Hyd. R445</t>
  </si>
  <si>
    <t>Plateau fourrager trainé T 9012 25 km/h Pneu. R445</t>
  </si>
  <si>
    <t>Plateau fourrager trainé T 10012 25 km/h Hyd. R445</t>
  </si>
  <si>
    <t>Plateau fourrager trainé T 10012 25 km/h Pneu. R445</t>
  </si>
  <si>
    <t>Plateau fourrager trainé 10 TDI 15 25 km/h Hyd. R445</t>
  </si>
  <si>
    <t>Plateau fourrager trainé 10 TD 20 25 km/h Hyd. R385</t>
  </si>
  <si>
    <t>Plateau fourrager trainé 10 TD 20 25 km/h Hyd. R445</t>
  </si>
  <si>
    <t>Plateau fourrager trainé 10 TDI 20 25 km/h Hyd. R445</t>
  </si>
  <si>
    <t>Plateau fourrager trainé 12 TDI 16 25 km/h Hyd. R445</t>
  </si>
  <si>
    <t>Plateau fourrager trainé 12 TD 20 25 km/h Hyd. R385</t>
  </si>
  <si>
    <t>Plateau fourrager trainé 12 TD 20 25 km/h Hyd. R445</t>
  </si>
  <si>
    <t>Plateau fourrager trainé 12 TDI 20 25 km/h Hyd. R445</t>
  </si>
  <si>
    <t>Bétaillère RB 4634 25 km/h Hyd. (fond peint) avec pont assisté</t>
  </si>
  <si>
    <t>Bétaillère RB 4634 25 km/h Hyd. (fond résine) avec pont assisté</t>
  </si>
  <si>
    <t>Bétaillère RB 5394 25 km/h Hyd. (fond peint) avec pont assisté</t>
  </si>
  <si>
    <t>Bétaillère RB 5394 25 km/h Hyd. (fond résine) avec pont assisté</t>
  </si>
  <si>
    <t>Bétaillère SRB 5394 25 km/h Hyd. (fond peint) avec pont assité</t>
  </si>
  <si>
    <t>Bétaillère SRB 5394 25 km/h Hyd. (fond résine) avec pont assisté</t>
  </si>
  <si>
    <t>Bétaillère SRB 5394 25 km/h Hyd. (fond alu) avec pont assisté</t>
  </si>
  <si>
    <t>Bétaillère SRB 6134 25 km/h Hyd. (fond peint) avec pont assisté</t>
  </si>
  <si>
    <t>Bétaillère SRB 6134 25 km/h Hyd. (fond résine) avec pont assisté</t>
  </si>
  <si>
    <t>Bétaillère SRB 6134 25 km/h Hyd. (fond alu) avec pont assisté</t>
  </si>
  <si>
    <t>Bétaillère SRB 6894 25 km/h Hyd. (fond peint) avec pont assisté</t>
  </si>
  <si>
    <t>Bétaillère SRB 6894 25 km/h Hyd. (fond résine) avec pont assisté</t>
  </si>
  <si>
    <t>Bétaillère SRB 6894 25 km/h Hyd. (fond alu) avec pont assisté</t>
  </si>
  <si>
    <t xml:space="preserve">Bétaillère SRB 5394 25 km/h Hyd. (fond peint) avec pont hydrau. </t>
  </si>
  <si>
    <t xml:space="preserve">Bétaillère SRB 5394 25 km/h Hyd. (fond résine) avec pont hydrau. </t>
  </si>
  <si>
    <t xml:space="preserve">Bétaillère SRB 5394 25 km/h Hyd. (fond alu) avec pont hydrau. </t>
  </si>
  <si>
    <t xml:space="preserve">Bétaillère SRB 6134 25 km/h Hyd. (fond peint) avec pont hydrau. </t>
  </si>
  <si>
    <t xml:space="preserve">Bétaillère SRB 6134 25 km/h Hyd. (fond résine) avec pont hydrau. </t>
  </si>
  <si>
    <t xml:space="preserve">Bétaillère SRB 6134 25 km/h Hyd. (fond alu) avec pont hydrau. </t>
  </si>
  <si>
    <t xml:space="preserve">Bétaillère SRB 6894 25 km/h Hyd. (fond peint) avec pont hydrau. </t>
  </si>
  <si>
    <t xml:space="preserve">Bétaillère SRB 6894 25 km/h Hyd. (fond résine) avec pont hydrau. </t>
  </si>
  <si>
    <t xml:space="preserve">Bétaillère SRB 6894 25 km/h Hyd. (fond alu) avec pont hydrau. </t>
  </si>
  <si>
    <t xml:space="preserve">Bétaillère XRB 7104 25 km/h Hyd. (fond peint) avec pont hydrau. </t>
  </si>
  <si>
    <t xml:space="preserve">Bétaillère XRB 7104 25 km/h Hyd. (fond résine) avec pont hydrau. </t>
  </si>
  <si>
    <t xml:space="preserve">Bétaillère XRB 7104 25 km/h Hyd. (fond alu) avec pont hydrau. </t>
  </si>
  <si>
    <t xml:space="preserve">Bétaillère XRB 7104 25 km/h Hyd. (tout alu) avec pont hydrau. </t>
  </si>
  <si>
    <t xml:space="preserve">Bétaillère XRB 8394 25 km/h Hyd. (fond peint) avec pont hydrau. </t>
  </si>
  <si>
    <t xml:space="preserve">Bétaillère XRB 8394 25 km/h Hyd. (fond résine) avec pont hydrau. </t>
  </si>
  <si>
    <t xml:space="preserve">Bétaillère XRB 8394 25 km/h Hyd. (fond alu) avec pont hydrau. </t>
  </si>
  <si>
    <t xml:space="preserve">Bétaillère XRB 8394 25 km/h Hyd. (tout alu) avec pont hydrau. </t>
  </si>
  <si>
    <t xml:space="preserve">Bétaillère XRB 9894 25 km/h Hyd. (fond peint) avec pont hydrau. </t>
  </si>
  <si>
    <t xml:space="preserve">Bétaillère XRB 9894 25 km/h Hyd. (fond résine) avec pont hydrau. </t>
  </si>
  <si>
    <t xml:space="preserve">Bétaillère XRB 9894 25 km/h Hyd. (fond alu) avec pont hydrau. </t>
  </si>
  <si>
    <t xml:space="preserve">Bétaillère XRB 9894 25 km/h Hyd. (tout alu) avec pont hydrau. </t>
  </si>
  <si>
    <t>Bétaillère XRB 7104 FP 25 km/h Hyd. (fond peint) avec pont hydrau.</t>
  </si>
  <si>
    <t xml:space="preserve">Bétaillère XRB 7104 FP 25 km/h Hyd. (fond résine) avec pont hydrau. </t>
  </si>
  <si>
    <t xml:space="preserve">Bétaillère XRB 7104 FP 25 km/h Hyd. (fond alu) avec pont hydrau. </t>
  </si>
  <si>
    <t xml:space="preserve">Bétaillère XRB 7104 FP 25 km/h Hyd. (tout alu) avec pont hydrau. </t>
  </si>
  <si>
    <t>Bétaillère XRB 8394 FP 25 km/h Hyd. (fond peint) avec pont hydrau.</t>
  </si>
  <si>
    <t xml:space="preserve">Bétaillère XRB 8394 FP 25 km/h Hyd. (fond résine) avec pont hydrau. </t>
  </si>
  <si>
    <t xml:space="preserve">Bétaillère XRB 8394 FP 25 km/h Hyd. (fond alu) avec pont hydrau. </t>
  </si>
  <si>
    <t xml:space="preserve">Bétaillère XRB 8394 FP 25 km/h Hyd. (tout alu) avec pont hydrau. </t>
  </si>
  <si>
    <t>Bétaillère XRB 9894 FP 25 km/h Hyd. (fond peint) avec pont hydrau.</t>
  </si>
  <si>
    <t>Bétaillère XRB 9894 FP 25 km/h Hyd. (fond résine) avec pont hydrau.</t>
  </si>
  <si>
    <t>Bétaillère XRB 9894 FP 25 km/h Hyd. (fond alu) avec pont hydrau.</t>
  </si>
  <si>
    <t>Bétaillère XRB 9894 FP 25 km/h Hyd. (tout alu) avec pont hydrau.</t>
  </si>
  <si>
    <t>Bétaillère HSRB 5394 25 km/h Hyd. (fond peint)</t>
  </si>
  <si>
    <t>Bétaillère HSRB 5394 25 km/h Hyd. (fond résine)</t>
  </si>
  <si>
    <t>Bétaillère HSRB 5394 25 km/h Hyd. (fond alu)</t>
  </si>
  <si>
    <t>Bétaillère HSRB 6134 25 km/h Hyd. (fond peint)</t>
  </si>
  <si>
    <t>Bétaillère HSRB 6134 25 km/h Hyd. (fond résine)</t>
  </si>
  <si>
    <t>Bétaillère HSRB 6134 25 km/h Hyd. (fond alu)</t>
  </si>
  <si>
    <t>Bétaillère HSRB 6894 25 km/h Hyd. (fond peint)</t>
  </si>
  <si>
    <t>Bétaillère HSRB 6894 25 km/h Hyd. (fond résine)</t>
  </si>
  <si>
    <t>Bétaillère HSRB 6894 25 km/h Hyd. (fond alu)</t>
  </si>
  <si>
    <t>Bétaillère HXRB 7104 25 km/h Hyd. (fond peint)</t>
  </si>
  <si>
    <t>Bétaillère HXRB 7104 25 km/h Hyd. (fond résine)</t>
  </si>
  <si>
    <t>Bétaillère HXRB 7104 25 km/h Hyd. (fond alu)</t>
  </si>
  <si>
    <t>Bétaillère HXRB 7104 25 km/h Hyd. (tout alu)</t>
  </si>
  <si>
    <t>Bétaillère HXRB 8394 25 km/h Hyd. (fond peint)</t>
  </si>
  <si>
    <t>Bétaillère HXRB 8394 25 km/h Hyd. (fond résine )</t>
  </si>
  <si>
    <t>Bétaillère HXRB 8394 25 km/h Hyd. (fond alu)</t>
  </si>
  <si>
    <t>Bétaillère HXRB 8394 25 km/h Hyd. (tout alu)</t>
  </si>
  <si>
    <t>Benne à ridelles BRS 4904 25 km/h Hyd. sans porte arrière R11.5</t>
  </si>
  <si>
    <t>Benne à ridelles BRS 5404 25 km/h Hyd. sans porte arrière 400</t>
  </si>
  <si>
    <t>Benne à ridelles BRS 5404 25 km/h Hyd. sans porte arrière</t>
  </si>
  <si>
    <t>Benne à ridelles BRS 6004 25 km/h Hyd. sans porte arrière</t>
  </si>
  <si>
    <t>Benne à ridelles BRS 9004 25 km/h Hyd. sans porte arrière</t>
  </si>
  <si>
    <t>Porte engins XRS 7012 TDI  25 km/h Hyd. avec ridelles</t>
  </si>
  <si>
    <t>Porte engins XRS 7015 TDI 25 km/h Hyd. avec ridelles</t>
  </si>
  <si>
    <t>Porte outils HB 4504 25 km/h Hyd.</t>
  </si>
  <si>
    <t>Porte outils HB 6004 25 km/h Hyd.</t>
  </si>
  <si>
    <t>Bétaillère SRB 5394 40 km/h Pneu. (fond peint) avec pont assité</t>
  </si>
  <si>
    <t>Bétaillère SRB 5394 40 km/h Pneu. (fond résine) avec pont assisté</t>
  </si>
  <si>
    <t>Bétaillère SRB 5394 40 km/h Pneu. (fond alu) avec pont assisté</t>
  </si>
  <si>
    <t>BR02150801</t>
  </si>
  <si>
    <t>BR02151801</t>
  </si>
  <si>
    <t>BR02152801</t>
  </si>
  <si>
    <t>BR02250801</t>
  </si>
  <si>
    <t>BR02251801</t>
  </si>
  <si>
    <t>BR02252801</t>
  </si>
  <si>
    <t xml:space="preserve">Bétaillère SRB 5394 40 km/h Pneu. (fond peint) avec pont hydrau. </t>
  </si>
  <si>
    <t xml:space="preserve">Bétaillère SRB 5394 40 km/h Pneu. (fond résine) avec pont hydrau. </t>
  </si>
  <si>
    <t xml:space="preserve">Bétaillère SRB 5394 40 km/h Pneu. (fond alu) avec pont hydrau. </t>
  </si>
  <si>
    <t>BR02650801</t>
  </si>
  <si>
    <t>BR02651801</t>
  </si>
  <si>
    <t>BR02652801</t>
  </si>
  <si>
    <t>Bétaillère HSRB 5394 40 km/h Pneu. UE (fond peint)</t>
  </si>
  <si>
    <t>Bétaillère HSRB 5394 40 km/h Pneu. UE (fond résine)</t>
  </si>
  <si>
    <t>Bétaillère HSRB 5394 40 km/h Pneu. UE (fond alu)</t>
  </si>
  <si>
    <t>Porte engins XRS 8018 TDI 40 km/h Pneu. avec ridelles</t>
  </si>
  <si>
    <t>25 DLH</t>
  </si>
  <si>
    <t>25 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</si>
</sst>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&quot;€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9"/>
      <color theme="2" tint="-9.9978637043366805E-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theme="2" tint="-9.9978637043366805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5" tint="-0.499984740745262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4" fontId="5" fillId="0" borderId="1" xfId="1" applyNumberFormat="1" applyFont="1" applyFill="1" applyBorder="1" applyAlignment="1">
      <alignment horizontal="center" vertical="center" wrapText="1"/>
    </xf>
    <xf numFmtId="44" fontId="6" fillId="0" borderId="1" xfId="1" applyNumberFormat="1" applyFont="1" applyFill="1" applyBorder="1" applyAlignment="1">
      <alignment horizontal="center" vertical="center" wrapText="1"/>
    </xf>
    <xf numFmtId="44" fontId="7" fillId="0" borderId="1" xfId="1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Fill="1" applyBorder="1" applyAlignment="1">
      <alignment vertical="center"/>
    </xf>
    <xf numFmtId="44" fontId="9" fillId="0" borderId="1" xfId="1" applyNumberFormat="1" applyFont="1" applyFill="1" applyBorder="1" applyAlignment="1">
      <alignment horizontal="center" vertical="center"/>
    </xf>
    <xf numFmtId="44" fontId="10" fillId="0" borderId="1" xfId="1" applyNumberFormat="1" applyFont="1" applyFill="1" applyBorder="1" applyAlignment="1">
      <alignment horizontal="center" vertical="center"/>
    </xf>
    <xf numFmtId="44" fontId="14" fillId="4" borderId="1" xfId="1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vertical="center"/>
    </xf>
    <xf numFmtId="44" fontId="11" fillId="0" borderId="1" xfId="1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7" borderId="4" xfId="0" applyNumberFormat="1" applyFont="1" applyFill="1" applyBorder="1" applyAlignment="1">
      <alignment horizontal="center" vertical="center"/>
    </xf>
    <xf numFmtId="164" fontId="1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8" borderId="4" xfId="0" applyNumberFormat="1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4" fontId="13" fillId="0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Fill="1" applyBorder="1" applyAlignment="1">
      <alignment horizontal="left" vertical="center"/>
    </xf>
    <xf numFmtId="0" fontId="0" fillId="9" borderId="4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/>
    </xf>
    <xf numFmtId="0" fontId="0" fillId="10" borderId="4" xfId="0" applyNumberFormat="1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2" fontId="13" fillId="0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0" fillId="12" borderId="4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13" borderId="4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14" borderId="4" xfId="0" applyNumberFormat="1" applyFont="1" applyFill="1" applyBorder="1" applyAlignment="1">
      <alignment horizontal="center" vertical="center"/>
    </xf>
    <xf numFmtId="0" fontId="0" fillId="15" borderId="4" xfId="0" applyNumberFormat="1" applyFont="1" applyFill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8" fillId="0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Fill="1" applyBorder="1" applyAlignment="1">
      <alignment vertical="center"/>
    </xf>
    <xf numFmtId="0" fontId="13" fillId="16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/>
    <xf numFmtId="0" fontId="19" fillId="0" borderId="0" xfId="0" applyFont="1"/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44" fontId="11" fillId="0" borderId="1" xfId="1" applyFont="1" applyBorder="1" applyAlignment="1">
      <alignment horizontal="center" vertical="center"/>
    </xf>
    <xf numFmtId="0" fontId="0" fillId="0" borderId="1" xfId="0" applyFont="1" applyBorder="1"/>
    <xf numFmtId="0" fontId="20" fillId="0" borderId="1" xfId="0" applyFont="1" applyBorder="1"/>
    <xf numFmtId="0" fontId="0" fillId="0" borderId="5" xfId="0" applyFont="1" applyBorder="1"/>
    <xf numFmtId="0" fontId="0" fillId="0" borderId="5" xfId="0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6" xfId="0" applyFont="1" applyBorder="1"/>
    <xf numFmtId="0" fontId="0" fillId="18" borderId="5" xfId="0" applyFill="1" applyBorder="1"/>
    <xf numFmtId="0" fontId="0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22" borderId="1" xfId="0" applyNumberFormat="1" applyFont="1" applyFill="1" applyBorder="1" applyAlignment="1">
      <alignment horizontal="center" vertical="center"/>
    </xf>
    <xf numFmtId="0" fontId="0" fillId="20" borderId="1" xfId="0" applyNumberFormat="1" applyFon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1" borderId="1" xfId="0" applyNumberFormat="1" applyFont="1" applyFill="1" applyBorder="1" applyAlignment="1">
      <alignment horizontal="center" vertical="center"/>
    </xf>
    <xf numFmtId="0" fontId="0" fillId="19" borderId="1" xfId="0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0" fillId="0" borderId="1" xfId="0" applyBorder="1"/>
    <xf numFmtId="0" fontId="20" fillId="0" borderId="1" xfId="0" applyFont="1" applyFill="1" applyBorder="1"/>
    <xf numFmtId="0" fontId="13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</cellXfs>
  <cellStyles count="12">
    <cellStyle name="Milliers 2" xfId="6"/>
    <cellStyle name="Milliers 2 2" xfId="9"/>
    <cellStyle name="Milliers 3" xfId="11"/>
    <cellStyle name="Monétaire" xfId="1" builtinId="4"/>
    <cellStyle name="Monétaire 2" xfId="7"/>
    <cellStyle name="Monétaire 2 2" xfId="10"/>
    <cellStyle name="Monétaire 3" xfId="3"/>
    <cellStyle name="Monétaire 4" xfId="2"/>
    <cellStyle name="Monétaire 4 2" xfId="4"/>
    <cellStyle name="Monétaire 6" xfId="5"/>
    <cellStyle name="Normal" xfId="0" builtinId="0"/>
    <cellStyle name="Normal 2" xfId="8"/>
  </cellStyles>
  <dxfs count="20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Nomenclature_nB" pivot="0" count="3">
      <tableStyleElement type="wholeTable" dxfId="19"/>
      <tableStyleElement type="headerRow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20"/>
  <sheetViews>
    <sheetView tabSelected="1" workbookViewId="0">
      <selection activeCell="A606" sqref="A606:XFD606"/>
    </sheetView>
  </sheetViews>
  <sheetFormatPr baseColWidth="10" defaultRowHeight="14.4" x14ac:dyDescent="0.3"/>
  <cols>
    <col min="1" max="1" width="14.5546875" customWidth="1"/>
    <col min="3" max="3" width="92" bestFit="1" customWidth="1"/>
    <col min="4" max="4" width="11.77734375" style="65" bestFit="1" customWidth="1"/>
    <col min="5" max="5" width="11.77734375" style="66" customWidth="1"/>
    <col min="6" max="6" width="15.21875" bestFit="1" customWidth="1"/>
    <col min="7" max="7" width="12.88671875" bestFit="1" customWidth="1"/>
    <col min="8" max="8" width="23" style="64" bestFit="1" customWidth="1"/>
    <col min="9" max="9" width="21.21875" style="64" bestFit="1" customWidth="1"/>
  </cols>
  <sheetData>
    <row r="1" spans="1:9" ht="46.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</row>
    <row r="2" spans="1:9" ht="18" x14ac:dyDescent="0.3">
      <c r="A2" s="8" t="s">
        <v>11</v>
      </c>
      <c r="B2" s="9" t="s">
        <v>1187</v>
      </c>
      <c r="C2" s="10" t="s">
        <v>1073</v>
      </c>
      <c r="D2" s="11">
        <v>15425</v>
      </c>
      <c r="E2" s="12">
        <f>D2*0.73*0.95*0.97</f>
        <v>10376.320374999999</v>
      </c>
      <c r="F2" s="13">
        <f>ROUNDUP((E2*1.15),-1)</f>
        <v>11940</v>
      </c>
      <c r="G2" s="13">
        <v>470</v>
      </c>
      <c r="H2" s="21" t="s">
        <v>9</v>
      </c>
      <c r="I2" s="14" t="s">
        <v>10</v>
      </c>
    </row>
    <row r="3" spans="1:9" ht="18" x14ac:dyDescent="0.3">
      <c r="A3" s="8" t="s">
        <v>12</v>
      </c>
      <c r="B3" s="9" t="s">
        <v>1187</v>
      </c>
      <c r="C3" s="10" t="s">
        <v>1074</v>
      </c>
      <c r="D3" s="11">
        <v>16507</v>
      </c>
      <c r="E3" s="12">
        <f t="shared" ref="E3:E6" si="0">D3*0.73*0.95*0.97</f>
        <v>11104.176364999999</v>
      </c>
      <c r="F3" s="13">
        <f t="shared" ref="F3:F6" si="1">ROUNDUP((E3*1.15),-1)</f>
        <v>12770</v>
      </c>
      <c r="G3" s="13">
        <v>680</v>
      </c>
      <c r="H3" s="21" t="s">
        <v>9</v>
      </c>
      <c r="I3" s="14" t="s">
        <v>10</v>
      </c>
    </row>
    <row r="4" spans="1:9" ht="18" x14ac:dyDescent="0.3">
      <c r="A4" s="8" t="s">
        <v>13</v>
      </c>
      <c r="B4" s="15" t="s">
        <v>14</v>
      </c>
      <c r="C4" s="10" t="s">
        <v>15</v>
      </c>
      <c r="D4" s="11">
        <v>16162</v>
      </c>
      <c r="E4" s="12">
        <f t="shared" si="0"/>
        <v>10872.096589999999</v>
      </c>
      <c r="F4" s="13">
        <f t="shared" si="1"/>
        <v>12510</v>
      </c>
      <c r="G4" s="13">
        <v>680</v>
      </c>
      <c r="H4" s="21" t="s">
        <v>9</v>
      </c>
      <c r="I4" s="14" t="s">
        <v>10</v>
      </c>
    </row>
    <row r="5" spans="1:9" ht="18" x14ac:dyDescent="0.3">
      <c r="A5" s="8" t="s">
        <v>16</v>
      </c>
      <c r="B5" s="9" t="s">
        <v>1187</v>
      </c>
      <c r="C5" s="10" t="s">
        <v>1075</v>
      </c>
      <c r="D5" s="11">
        <v>17159</v>
      </c>
      <c r="E5" s="12">
        <f t="shared" si="0"/>
        <v>11542.773504999999</v>
      </c>
      <c r="F5" s="13">
        <f t="shared" si="1"/>
        <v>13280</v>
      </c>
      <c r="G5" s="13">
        <v>680</v>
      </c>
      <c r="H5" s="21" t="s">
        <v>9</v>
      </c>
      <c r="I5" s="14" t="s">
        <v>10</v>
      </c>
    </row>
    <row r="6" spans="1:9" ht="18" x14ac:dyDescent="0.3">
      <c r="A6" s="8" t="s">
        <v>17</v>
      </c>
      <c r="B6" s="15" t="s">
        <v>14</v>
      </c>
      <c r="C6" s="10" t="s">
        <v>18</v>
      </c>
      <c r="D6" s="11">
        <v>16953</v>
      </c>
      <c r="E6" s="12">
        <f t="shared" si="0"/>
        <v>11404.198335000001</v>
      </c>
      <c r="F6" s="13">
        <f t="shared" si="1"/>
        <v>13120</v>
      </c>
      <c r="G6" s="13">
        <v>680</v>
      </c>
      <c r="H6" s="21" t="s">
        <v>9</v>
      </c>
      <c r="I6" s="14" t="s">
        <v>10</v>
      </c>
    </row>
    <row r="7" spans="1:9" ht="18" x14ac:dyDescent="0.3">
      <c r="A7" s="8" t="s">
        <v>19</v>
      </c>
      <c r="B7" s="9" t="s">
        <v>1187</v>
      </c>
      <c r="C7" s="10" t="s">
        <v>1076</v>
      </c>
      <c r="D7" s="11">
        <v>21747</v>
      </c>
      <c r="E7" s="12">
        <f t="shared" ref="E7:E13" si="2">D7*0.73*0.95*0.97</f>
        <v>14629.098164999998</v>
      </c>
      <c r="F7" s="13">
        <f t="shared" ref="F7:F13" si="3">ROUNDUP((E7*1.15),-1)</f>
        <v>16830</v>
      </c>
      <c r="G7" s="13">
        <v>680</v>
      </c>
      <c r="H7" s="21" t="s">
        <v>9</v>
      </c>
      <c r="I7" s="14" t="s">
        <v>10</v>
      </c>
    </row>
    <row r="8" spans="1:9" ht="18" x14ac:dyDescent="0.3">
      <c r="A8" s="8" t="s">
        <v>20</v>
      </c>
      <c r="B8" s="9" t="s">
        <v>1187</v>
      </c>
      <c r="C8" s="10" t="s">
        <v>1077</v>
      </c>
      <c r="D8" s="11">
        <v>22978</v>
      </c>
      <c r="E8" s="12">
        <f t="shared" si="2"/>
        <v>15457.185709999998</v>
      </c>
      <c r="F8" s="13">
        <f t="shared" si="3"/>
        <v>17780</v>
      </c>
      <c r="G8" s="13">
        <v>680</v>
      </c>
      <c r="H8" s="21" t="s">
        <v>9</v>
      </c>
      <c r="I8" s="14" t="s">
        <v>10</v>
      </c>
    </row>
    <row r="9" spans="1:9" ht="18" x14ac:dyDescent="0.3">
      <c r="A9" s="8" t="s">
        <v>21</v>
      </c>
      <c r="B9" s="15" t="s">
        <v>14</v>
      </c>
      <c r="C9" s="10" t="s">
        <v>22</v>
      </c>
      <c r="D9" s="11">
        <v>22320</v>
      </c>
      <c r="E9" s="12">
        <f t="shared" si="2"/>
        <v>15014.5524</v>
      </c>
      <c r="F9" s="13">
        <f t="shared" si="3"/>
        <v>17270</v>
      </c>
      <c r="G9" s="13">
        <v>680</v>
      </c>
      <c r="H9" s="21" t="s">
        <v>9</v>
      </c>
      <c r="I9" s="14" t="s">
        <v>10</v>
      </c>
    </row>
    <row r="10" spans="1:9" ht="18" x14ac:dyDescent="0.3">
      <c r="A10" s="8" t="s">
        <v>23</v>
      </c>
      <c r="B10" s="9" t="s">
        <v>1187</v>
      </c>
      <c r="C10" s="10" t="s">
        <v>1078</v>
      </c>
      <c r="D10" s="11">
        <v>25672</v>
      </c>
      <c r="E10" s="12">
        <f t="shared" si="2"/>
        <v>17269.426039999998</v>
      </c>
      <c r="F10" s="13">
        <f t="shared" si="3"/>
        <v>19860</v>
      </c>
      <c r="G10" s="13">
        <v>680</v>
      </c>
      <c r="H10" s="21" t="s">
        <v>9</v>
      </c>
      <c r="I10" s="14" t="s">
        <v>10</v>
      </c>
    </row>
    <row r="11" spans="1:9" ht="18" x14ac:dyDescent="0.3">
      <c r="A11" s="8" t="s">
        <v>24</v>
      </c>
      <c r="B11" s="15" t="s">
        <v>14</v>
      </c>
      <c r="C11" s="10" t="s">
        <v>25</v>
      </c>
      <c r="D11" s="11">
        <v>27349</v>
      </c>
      <c r="E11" s="12">
        <f t="shared" si="2"/>
        <v>18397.535555000002</v>
      </c>
      <c r="F11" s="13">
        <f t="shared" si="3"/>
        <v>21160</v>
      </c>
      <c r="G11" s="13">
        <v>680</v>
      </c>
      <c r="H11" s="21" t="s">
        <v>9</v>
      </c>
      <c r="I11" s="14" t="s">
        <v>10</v>
      </c>
    </row>
    <row r="12" spans="1:9" ht="18" x14ac:dyDescent="0.3">
      <c r="A12" s="8" t="s">
        <v>26</v>
      </c>
      <c r="B12" s="9" t="s">
        <v>1187</v>
      </c>
      <c r="C12" s="10" t="s">
        <v>1079</v>
      </c>
      <c r="D12" s="11">
        <v>26096</v>
      </c>
      <c r="E12" s="12">
        <f t="shared" si="2"/>
        <v>17554.648719999997</v>
      </c>
      <c r="F12" s="13">
        <f t="shared" si="3"/>
        <v>20190</v>
      </c>
      <c r="G12" s="13">
        <v>680</v>
      </c>
      <c r="H12" s="21" t="s">
        <v>9</v>
      </c>
      <c r="I12" s="14" t="s">
        <v>10</v>
      </c>
    </row>
    <row r="13" spans="1:9" ht="18" x14ac:dyDescent="0.3">
      <c r="A13" s="8" t="s">
        <v>27</v>
      </c>
      <c r="B13" s="15" t="s">
        <v>14</v>
      </c>
      <c r="C13" s="10" t="s">
        <v>28</v>
      </c>
      <c r="D13" s="11">
        <v>28907</v>
      </c>
      <c r="E13" s="12">
        <f t="shared" si="2"/>
        <v>19445.594364999997</v>
      </c>
      <c r="F13" s="13">
        <f t="shared" si="3"/>
        <v>22370</v>
      </c>
      <c r="G13" s="13">
        <v>680</v>
      </c>
      <c r="H13" s="21" t="s">
        <v>9</v>
      </c>
      <c r="I13" s="14" t="s">
        <v>10</v>
      </c>
    </row>
    <row r="14" spans="1:9" ht="18" x14ac:dyDescent="0.3">
      <c r="A14" s="8" t="s">
        <v>29</v>
      </c>
      <c r="B14" s="9" t="s">
        <v>1187</v>
      </c>
      <c r="C14" s="10" t="s">
        <v>1080</v>
      </c>
      <c r="D14" s="11">
        <v>17875</v>
      </c>
      <c r="E14" s="12">
        <f t="shared" ref="E14:E21" si="4">D14*0.73*0.95*0.97</f>
        <v>12024.423124999999</v>
      </c>
      <c r="F14" s="13">
        <f t="shared" ref="F14:F21" si="5">ROUNDUP((E14*1.15),-1)</f>
        <v>13830</v>
      </c>
      <c r="G14" s="13">
        <v>470</v>
      </c>
      <c r="H14" s="21" t="s">
        <v>9</v>
      </c>
      <c r="I14" s="14" t="s">
        <v>10</v>
      </c>
    </row>
    <row r="15" spans="1:9" ht="18" x14ac:dyDescent="0.3">
      <c r="A15" s="16" t="s">
        <v>30</v>
      </c>
      <c r="B15" s="17" t="s">
        <v>1188</v>
      </c>
      <c r="C15" s="18" t="s">
        <v>1081</v>
      </c>
      <c r="D15" s="11">
        <v>17366</v>
      </c>
      <c r="E15" s="12">
        <f t="shared" si="4"/>
        <v>11682.02137</v>
      </c>
      <c r="F15" s="13">
        <f t="shared" si="5"/>
        <v>13440</v>
      </c>
      <c r="G15" s="13">
        <v>470</v>
      </c>
      <c r="H15" s="21" t="s">
        <v>9</v>
      </c>
      <c r="I15" s="14" t="s">
        <v>10</v>
      </c>
    </row>
    <row r="16" spans="1:9" ht="18" x14ac:dyDescent="0.3">
      <c r="A16" s="16" t="s">
        <v>31</v>
      </c>
      <c r="B16" s="9" t="s">
        <v>1187</v>
      </c>
      <c r="C16" s="18" t="s">
        <v>1082</v>
      </c>
      <c r="D16" s="11">
        <v>22660</v>
      </c>
      <c r="E16" s="12">
        <f t="shared" si="4"/>
        <v>15243.268699999999</v>
      </c>
      <c r="F16" s="13">
        <f t="shared" si="5"/>
        <v>17530</v>
      </c>
      <c r="G16" s="13">
        <v>470</v>
      </c>
      <c r="H16" s="21" t="s">
        <v>9</v>
      </c>
      <c r="I16" s="14" t="s">
        <v>10</v>
      </c>
    </row>
    <row r="17" spans="1:9" ht="18" x14ac:dyDescent="0.3">
      <c r="A17" s="16" t="s">
        <v>32</v>
      </c>
      <c r="B17" s="17" t="s">
        <v>1188</v>
      </c>
      <c r="C17" s="18" t="s">
        <v>1083</v>
      </c>
      <c r="D17" s="11">
        <v>21583</v>
      </c>
      <c r="E17" s="12">
        <f t="shared" si="4"/>
        <v>14518.776184999999</v>
      </c>
      <c r="F17" s="13">
        <f t="shared" si="5"/>
        <v>16700</v>
      </c>
      <c r="G17" s="13">
        <v>470</v>
      </c>
      <c r="H17" s="21" t="s">
        <v>9</v>
      </c>
      <c r="I17" s="14" t="s">
        <v>10</v>
      </c>
    </row>
    <row r="18" spans="1:9" ht="18" x14ac:dyDescent="0.3">
      <c r="A18" s="16" t="s">
        <v>33</v>
      </c>
      <c r="B18" s="9" t="s">
        <v>1187</v>
      </c>
      <c r="C18" s="18" t="s">
        <v>1084</v>
      </c>
      <c r="D18" s="11">
        <v>22872</v>
      </c>
      <c r="E18" s="12">
        <f t="shared" si="4"/>
        <v>15385.88004</v>
      </c>
      <c r="F18" s="13">
        <f t="shared" si="5"/>
        <v>17700</v>
      </c>
      <c r="G18" s="13">
        <v>680</v>
      </c>
      <c r="H18" s="21" t="s">
        <v>9</v>
      </c>
      <c r="I18" s="14" t="s">
        <v>10</v>
      </c>
    </row>
    <row r="19" spans="1:9" ht="18" x14ac:dyDescent="0.3">
      <c r="A19" s="16" t="s">
        <v>34</v>
      </c>
      <c r="B19" s="17" t="s">
        <v>1188</v>
      </c>
      <c r="C19" s="18" t="s">
        <v>1085</v>
      </c>
      <c r="D19" s="11">
        <v>21992</v>
      </c>
      <c r="E19" s="12">
        <f t="shared" si="4"/>
        <v>14793.908439999999</v>
      </c>
      <c r="F19" s="13">
        <f t="shared" si="5"/>
        <v>17020</v>
      </c>
      <c r="G19" s="13">
        <v>680</v>
      </c>
      <c r="H19" s="21" t="s">
        <v>9</v>
      </c>
      <c r="I19" s="14" t="s">
        <v>10</v>
      </c>
    </row>
    <row r="20" spans="1:9" ht="18" x14ac:dyDescent="0.3">
      <c r="A20" s="16" t="s">
        <v>35</v>
      </c>
      <c r="B20" s="9" t="s">
        <v>1187</v>
      </c>
      <c r="C20" s="18" t="s">
        <v>1086</v>
      </c>
      <c r="D20" s="11">
        <v>23413</v>
      </c>
      <c r="E20" s="12">
        <f t="shared" si="4"/>
        <v>15749.808034999996</v>
      </c>
      <c r="F20" s="13">
        <f t="shared" si="5"/>
        <v>18120</v>
      </c>
      <c r="G20" s="13">
        <v>680</v>
      </c>
      <c r="H20" s="21" t="s">
        <v>9</v>
      </c>
      <c r="I20" s="14" t="s">
        <v>10</v>
      </c>
    </row>
    <row r="21" spans="1:9" ht="18" x14ac:dyDescent="0.3">
      <c r="A21" s="16" t="s">
        <v>36</v>
      </c>
      <c r="B21" s="17" t="s">
        <v>1188</v>
      </c>
      <c r="C21" s="18" t="s">
        <v>1087</v>
      </c>
      <c r="D21" s="11">
        <v>22734</v>
      </c>
      <c r="E21" s="12">
        <f t="shared" si="4"/>
        <v>15293.048129999997</v>
      </c>
      <c r="F21" s="13">
        <f t="shared" si="5"/>
        <v>17590</v>
      </c>
      <c r="G21" s="13">
        <v>680</v>
      </c>
      <c r="H21" s="21" t="s">
        <v>9</v>
      </c>
      <c r="I21" s="14" t="s">
        <v>10</v>
      </c>
    </row>
    <row r="22" spans="1:9" ht="18" x14ac:dyDescent="0.3">
      <c r="A22" s="8" t="s">
        <v>37</v>
      </c>
      <c r="B22" s="9" t="s">
        <v>1187</v>
      </c>
      <c r="C22" s="10" t="s">
        <v>1088</v>
      </c>
      <c r="D22" s="11">
        <v>28828</v>
      </c>
      <c r="E22" s="12">
        <f t="shared" ref="E22:E28" si="6">D22*0.73*0.95*0.97</f>
        <v>19392.451459999997</v>
      </c>
      <c r="F22" s="13">
        <f t="shared" ref="F22:F28" si="7">ROUNDUP((E22*1.15),-1)</f>
        <v>22310</v>
      </c>
      <c r="G22" s="13">
        <v>680</v>
      </c>
      <c r="H22" s="21" t="s">
        <v>9</v>
      </c>
      <c r="I22" s="14" t="s">
        <v>10</v>
      </c>
    </row>
    <row r="23" spans="1:9" ht="18" x14ac:dyDescent="0.3">
      <c r="A23" s="8" t="s">
        <v>38</v>
      </c>
      <c r="B23" s="9" t="s">
        <v>1187</v>
      </c>
      <c r="C23" s="10" t="s">
        <v>1089</v>
      </c>
      <c r="D23" s="11">
        <v>31990</v>
      </c>
      <c r="E23" s="12">
        <f t="shared" si="6"/>
        <v>21519.513049999998</v>
      </c>
      <c r="F23" s="13">
        <f t="shared" si="7"/>
        <v>24750</v>
      </c>
      <c r="G23" s="13">
        <v>680</v>
      </c>
      <c r="H23" s="21" t="s">
        <v>9</v>
      </c>
      <c r="I23" s="14" t="s">
        <v>10</v>
      </c>
    </row>
    <row r="24" spans="1:9" ht="18" x14ac:dyDescent="0.3">
      <c r="A24" s="8" t="s">
        <v>39</v>
      </c>
      <c r="B24" s="15" t="s">
        <v>14</v>
      </c>
      <c r="C24" s="10" t="s">
        <v>40</v>
      </c>
      <c r="D24" s="11">
        <v>32419</v>
      </c>
      <c r="E24" s="12">
        <f t="shared" si="6"/>
        <v>21808.099204999999</v>
      </c>
      <c r="F24" s="13">
        <f t="shared" si="7"/>
        <v>25080</v>
      </c>
      <c r="G24" s="13">
        <v>680</v>
      </c>
      <c r="H24" s="21" t="s">
        <v>9</v>
      </c>
      <c r="I24" s="14" t="s">
        <v>10</v>
      </c>
    </row>
    <row r="25" spans="1:9" ht="18" x14ac:dyDescent="0.3">
      <c r="A25" s="8" t="s">
        <v>41</v>
      </c>
      <c r="B25" s="9" t="s">
        <v>1187</v>
      </c>
      <c r="C25" s="10" t="s">
        <v>1090</v>
      </c>
      <c r="D25" s="11">
        <v>31178</v>
      </c>
      <c r="E25" s="12">
        <f t="shared" si="6"/>
        <v>20973.28471</v>
      </c>
      <c r="F25" s="13">
        <f t="shared" si="7"/>
        <v>24120</v>
      </c>
      <c r="G25" s="13">
        <v>680</v>
      </c>
      <c r="H25" s="21" t="s">
        <v>9</v>
      </c>
      <c r="I25" s="14" t="s">
        <v>10</v>
      </c>
    </row>
    <row r="26" spans="1:9" ht="18" x14ac:dyDescent="0.3">
      <c r="A26" s="8" t="s">
        <v>42</v>
      </c>
      <c r="B26" s="15" t="s">
        <v>14</v>
      </c>
      <c r="C26" s="10" t="s">
        <v>43</v>
      </c>
      <c r="D26" s="11">
        <v>31612</v>
      </c>
      <c r="E26" s="12">
        <f t="shared" si="6"/>
        <v>21265.234339999999</v>
      </c>
      <c r="F26" s="13">
        <f t="shared" si="7"/>
        <v>24460</v>
      </c>
      <c r="G26" s="13">
        <v>680</v>
      </c>
      <c r="H26" s="21" t="s">
        <v>9</v>
      </c>
      <c r="I26" s="14" t="s">
        <v>10</v>
      </c>
    </row>
    <row r="27" spans="1:9" ht="18" x14ac:dyDescent="0.3">
      <c r="A27" s="8" t="s">
        <v>44</v>
      </c>
      <c r="B27" s="9" t="s">
        <v>1187</v>
      </c>
      <c r="C27" s="10" t="s">
        <v>1091</v>
      </c>
      <c r="D27" s="11">
        <v>30743</v>
      </c>
      <c r="E27" s="12">
        <f t="shared" si="6"/>
        <v>20680.662385</v>
      </c>
      <c r="F27" s="13">
        <f t="shared" si="7"/>
        <v>23790</v>
      </c>
      <c r="G27" s="13">
        <v>680</v>
      </c>
      <c r="H27" s="21" t="s">
        <v>9</v>
      </c>
      <c r="I27" s="14" t="s">
        <v>10</v>
      </c>
    </row>
    <row r="28" spans="1:9" ht="18" x14ac:dyDescent="0.3">
      <c r="A28" s="8" t="s">
        <v>45</v>
      </c>
      <c r="B28" s="15" t="s">
        <v>14</v>
      </c>
      <c r="C28" s="10" t="s">
        <v>46</v>
      </c>
      <c r="D28" s="11">
        <v>31178</v>
      </c>
      <c r="E28" s="12">
        <f t="shared" si="6"/>
        <v>20973.28471</v>
      </c>
      <c r="F28" s="13">
        <f t="shared" si="7"/>
        <v>24120</v>
      </c>
      <c r="G28" s="13">
        <v>680</v>
      </c>
      <c r="H28" s="21" t="s">
        <v>9</v>
      </c>
      <c r="I28" s="14" t="s">
        <v>10</v>
      </c>
    </row>
    <row r="29" spans="1:9" ht="18" x14ac:dyDescent="0.3">
      <c r="A29" s="8" t="s">
        <v>47</v>
      </c>
      <c r="B29" s="9" t="s">
        <v>1187</v>
      </c>
      <c r="C29" s="10" t="s">
        <v>1092</v>
      </c>
      <c r="D29" s="11">
        <v>30966</v>
      </c>
      <c r="E29" s="12">
        <f t="shared" ref="E29:E36" si="8">D29*0.73*0.95*0.97</f>
        <v>20830.673369999997</v>
      </c>
      <c r="F29" s="13">
        <f t="shared" ref="F29:F36" si="9">ROUNDUP((E29*1.15),-1)</f>
        <v>23960</v>
      </c>
      <c r="G29" s="13">
        <v>680</v>
      </c>
      <c r="H29" s="21" t="s">
        <v>9</v>
      </c>
      <c r="I29" s="14" t="s">
        <v>10</v>
      </c>
    </row>
    <row r="30" spans="1:9" ht="18" x14ac:dyDescent="0.3">
      <c r="A30" s="8" t="s">
        <v>48</v>
      </c>
      <c r="B30" s="9" t="s">
        <v>1187</v>
      </c>
      <c r="C30" s="10" t="s">
        <v>1093</v>
      </c>
      <c r="D30" s="11">
        <v>34684</v>
      </c>
      <c r="E30" s="12">
        <f t="shared" si="8"/>
        <v>23331.753379999998</v>
      </c>
      <c r="F30" s="13">
        <f t="shared" si="9"/>
        <v>26840</v>
      </c>
      <c r="G30" s="13">
        <v>680</v>
      </c>
      <c r="H30" s="21" t="s">
        <v>9</v>
      </c>
      <c r="I30" s="14" t="s">
        <v>10</v>
      </c>
    </row>
    <row r="31" spans="1:9" ht="18" x14ac:dyDescent="0.3">
      <c r="A31" s="8" t="s">
        <v>49</v>
      </c>
      <c r="B31" s="15" t="s">
        <v>14</v>
      </c>
      <c r="C31" s="10" t="s">
        <v>50</v>
      </c>
      <c r="D31" s="11">
        <v>34466</v>
      </c>
      <c r="E31" s="12">
        <f t="shared" si="8"/>
        <v>23185.105869999999</v>
      </c>
      <c r="F31" s="13">
        <f t="shared" si="9"/>
        <v>26670</v>
      </c>
      <c r="G31" s="13">
        <v>680</v>
      </c>
      <c r="H31" s="21" t="s">
        <v>9</v>
      </c>
      <c r="I31" s="14" t="s">
        <v>10</v>
      </c>
    </row>
    <row r="32" spans="1:9" ht="18" x14ac:dyDescent="0.3">
      <c r="A32" s="8" t="s">
        <v>51</v>
      </c>
      <c r="B32" s="9" t="s">
        <v>1187</v>
      </c>
      <c r="C32" s="10" t="s">
        <v>1094</v>
      </c>
      <c r="D32" s="11">
        <v>33873</v>
      </c>
      <c r="E32" s="12">
        <f t="shared" si="8"/>
        <v>22786.197735000002</v>
      </c>
      <c r="F32" s="13">
        <f t="shared" si="9"/>
        <v>26210</v>
      </c>
      <c r="G32" s="13">
        <v>680</v>
      </c>
      <c r="H32" s="21" t="s">
        <v>9</v>
      </c>
      <c r="I32" s="14" t="s">
        <v>10</v>
      </c>
    </row>
    <row r="33" spans="1:9" ht="18" x14ac:dyDescent="0.3">
      <c r="A33" s="8" t="s">
        <v>52</v>
      </c>
      <c r="B33" s="15" t="s">
        <v>14</v>
      </c>
      <c r="C33" s="10" t="s">
        <v>53</v>
      </c>
      <c r="D33" s="11">
        <v>33660</v>
      </c>
      <c r="E33" s="12">
        <f t="shared" si="8"/>
        <v>22642.913699999997</v>
      </c>
      <c r="F33" s="13">
        <f t="shared" si="9"/>
        <v>26040</v>
      </c>
      <c r="G33" s="13">
        <v>680</v>
      </c>
      <c r="H33" s="21" t="s">
        <v>9</v>
      </c>
      <c r="I33" s="14" t="s">
        <v>10</v>
      </c>
    </row>
    <row r="34" spans="1:9" ht="18" x14ac:dyDescent="0.3">
      <c r="A34" s="8" t="s">
        <v>54</v>
      </c>
      <c r="B34" s="9" t="s">
        <v>1187</v>
      </c>
      <c r="C34" s="10" t="s">
        <v>1095</v>
      </c>
      <c r="D34" s="11">
        <v>33442</v>
      </c>
      <c r="E34" s="12">
        <f t="shared" si="8"/>
        <v>22496.266189999998</v>
      </c>
      <c r="F34" s="13">
        <f t="shared" si="9"/>
        <v>25880</v>
      </c>
      <c r="G34" s="13">
        <v>680</v>
      </c>
      <c r="H34" s="21" t="s">
        <v>9</v>
      </c>
      <c r="I34" s="14" t="s">
        <v>10</v>
      </c>
    </row>
    <row r="35" spans="1:9" ht="18" x14ac:dyDescent="0.3">
      <c r="A35" s="8" t="s">
        <v>55</v>
      </c>
      <c r="B35" s="15" t="s">
        <v>14</v>
      </c>
      <c r="C35" s="10" t="s">
        <v>56</v>
      </c>
      <c r="D35" s="11">
        <v>33225</v>
      </c>
      <c r="E35" s="12">
        <f t="shared" si="8"/>
        <v>22350.291374999997</v>
      </c>
      <c r="F35" s="13">
        <f t="shared" si="9"/>
        <v>25710</v>
      </c>
      <c r="G35" s="13">
        <v>680</v>
      </c>
      <c r="H35" s="21" t="s">
        <v>9</v>
      </c>
      <c r="I35" s="14" t="s">
        <v>10</v>
      </c>
    </row>
    <row r="36" spans="1:9" ht="18" x14ac:dyDescent="0.3">
      <c r="A36" s="20" t="s">
        <v>57</v>
      </c>
      <c r="C36" s="18" t="s">
        <v>58</v>
      </c>
      <c r="D36" s="11">
        <v>20898</v>
      </c>
      <c r="E36" s="12">
        <f t="shared" si="8"/>
        <v>14057.980109999999</v>
      </c>
      <c r="F36" s="13">
        <f t="shared" si="9"/>
        <v>16170</v>
      </c>
      <c r="G36" s="13">
        <v>680</v>
      </c>
      <c r="H36" s="21" t="s">
        <v>9</v>
      </c>
      <c r="I36" s="14" t="s">
        <v>10</v>
      </c>
    </row>
    <row r="37" spans="1:9" ht="18" x14ac:dyDescent="0.3">
      <c r="A37" s="21" t="s">
        <v>59</v>
      </c>
      <c r="B37" s="22"/>
      <c r="C37" s="18" t="s">
        <v>60</v>
      </c>
      <c r="D37" s="11">
        <v>585</v>
      </c>
      <c r="E37" s="11">
        <f>D37*0.73*0.95</f>
        <v>405.69749999999999</v>
      </c>
      <c r="F37" s="13">
        <f>ROUNDUP((E37*1.18),-1)</f>
        <v>480</v>
      </c>
      <c r="G37" s="13"/>
      <c r="H37" s="21" t="s">
        <v>9</v>
      </c>
      <c r="I37" s="23" t="s">
        <v>61</v>
      </c>
    </row>
    <row r="38" spans="1:9" ht="18" x14ac:dyDescent="0.3">
      <c r="A38" s="21" t="s">
        <v>62</v>
      </c>
      <c r="B38" s="22"/>
      <c r="C38" s="18" t="s">
        <v>63</v>
      </c>
      <c r="D38" s="11">
        <v>-585</v>
      </c>
      <c r="E38" s="11">
        <f t="shared" ref="E38:E44" si="10">D38*0.73*0.95</f>
        <v>-405.69749999999999</v>
      </c>
      <c r="F38" s="13">
        <f t="shared" ref="F38:F44" si="11">ROUNDUP((E38*1.18),-1)</f>
        <v>-480</v>
      </c>
      <c r="G38" s="13"/>
      <c r="H38" s="21" t="s">
        <v>9</v>
      </c>
      <c r="I38" s="23" t="s">
        <v>61</v>
      </c>
    </row>
    <row r="39" spans="1:9" ht="18" x14ac:dyDescent="0.3">
      <c r="A39" s="21" t="s">
        <v>64</v>
      </c>
      <c r="B39" s="22"/>
      <c r="C39" s="18" t="s">
        <v>65</v>
      </c>
      <c r="D39" s="11">
        <v>552</v>
      </c>
      <c r="E39" s="11">
        <f t="shared" si="10"/>
        <v>382.81199999999995</v>
      </c>
      <c r="F39" s="13">
        <f t="shared" si="11"/>
        <v>460</v>
      </c>
      <c r="G39" s="13"/>
      <c r="H39" s="21" t="s">
        <v>9</v>
      </c>
      <c r="I39" s="23" t="s">
        <v>61</v>
      </c>
    </row>
    <row r="40" spans="1:9" ht="18" x14ac:dyDescent="0.3">
      <c r="A40" s="21" t="s">
        <v>66</v>
      </c>
      <c r="B40" s="22"/>
      <c r="C40" s="18" t="s">
        <v>67</v>
      </c>
      <c r="D40" s="11">
        <v>638</v>
      </c>
      <c r="E40" s="11">
        <f t="shared" si="10"/>
        <v>442.45299999999997</v>
      </c>
      <c r="F40" s="13">
        <f t="shared" si="11"/>
        <v>530</v>
      </c>
      <c r="G40" s="13"/>
      <c r="H40" s="21" t="s">
        <v>9</v>
      </c>
      <c r="I40" s="23" t="s">
        <v>61</v>
      </c>
    </row>
    <row r="41" spans="1:9" ht="18" x14ac:dyDescent="0.3">
      <c r="A41" s="21" t="s">
        <v>68</v>
      </c>
      <c r="B41" s="22"/>
      <c r="C41" s="18" t="s">
        <v>69</v>
      </c>
      <c r="D41" s="11">
        <v>564</v>
      </c>
      <c r="E41" s="11">
        <f t="shared" si="10"/>
        <v>391.13399999999996</v>
      </c>
      <c r="F41" s="13">
        <f t="shared" si="11"/>
        <v>470</v>
      </c>
      <c r="G41" s="13"/>
      <c r="H41" s="21" t="s">
        <v>9</v>
      </c>
      <c r="I41" s="23" t="s">
        <v>61</v>
      </c>
    </row>
    <row r="42" spans="1:9" ht="18" x14ac:dyDescent="0.3">
      <c r="A42" s="21" t="s">
        <v>70</v>
      </c>
      <c r="B42" s="22"/>
      <c r="C42" s="18" t="s">
        <v>71</v>
      </c>
      <c r="D42" s="11">
        <v>-564</v>
      </c>
      <c r="E42" s="11">
        <f t="shared" si="10"/>
        <v>-391.13399999999996</v>
      </c>
      <c r="F42" s="13">
        <f t="shared" si="11"/>
        <v>-470</v>
      </c>
      <c r="G42" s="13"/>
      <c r="H42" s="21" t="s">
        <v>9</v>
      </c>
      <c r="I42" s="23" t="s">
        <v>61</v>
      </c>
    </row>
    <row r="43" spans="1:9" ht="18" x14ac:dyDescent="0.3">
      <c r="A43" s="21" t="s">
        <v>72</v>
      </c>
      <c r="B43" s="22"/>
      <c r="C43" s="18" t="s">
        <v>73</v>
      </c>
      <c r="D43" s="11">
        <v>724</v>
      </c>
      <c r="E43" s="11">
        <f t="shared" si="10"/>
        <v>502.09399999999994</v>
      </c>
      <c r="F43" s="13">
        <f t="shared" si="11"/>
        <v>600</v>
      </c>
      <c r="G43" s="13"/>
      <c r="H43" s="21" t="s">
        <v>9</v>
      </c>
      <c r="I43" s="23" t="s">
        <v>61</v>
      </c>
    </row>
    <row r="44" spans="1:9" ht="18" x14ac:dyDescent="0.3">
      <c r="A44" s="21" t="s">
        <v>74</v>
      </c>
      <c r="B44" s="24"/>
      <c r="C44" s="18" t="s">
        <v>75</v>
      </c>
      <c r="D44" s="11">
        <v>435</v>
      </c>
      <c r="E44" s="11">
        <f t="shared" si="10"/>
        <v>301.67250000000001</v>
      </c>
      <c r="F44" s="13">
        <f t="shared" si="11"/>
        <v>360</v>
      </c>
      <c r="G44" s="13"/>
      <c r="H44" s="21" t="s">
        <v>9</v>
      </c>
      <c r="I44" s="23" t="s">
        <v>61</v>
      </c>
    </row>
    <row r="45" spans="1:9" ht="18" x14ac:dyDescent="0.3">
      <c r="A45" s="8" t="s">
        <v>76</v>
      </c>
      <c r="B45" s="16"/>
      <c r="C45" s="18" t="s">
        <v>77</v>
      </c>
      <c r="D45" s="11">
        <v>269</v>
      </c>
      <c r="E45" s="11">
        <f t="shared" ref="E45:E49" si="12">D45*0.73*0.95</f>
        <v>186.5515</v>
      </c>
      <c r="F45" s="13">
        <f t="shared" ref="F45:F49" si="13">ROUNDUP((E45*1.18),-1)</f>
        <v>230</v>
      </c>
      <c r="G45" s="13"/>
      <c r="H45" s="21" t="s">
        <v>9</v>
      </c>
      <c r="I45" s="23" t="s">
        <v>61</v>
      </c>
    </row>
    <row r="46" spans="1:9" ht="18" x14ac:dyDescent="0.3">
      <c r="A46" s="21" t="s">
        <v>78</v>
      </c>
      <c r="B46" s="22"/>
      <c r="C46" s="18" t="s">
        <v>79</v>
      </c>
      <c r="D46" s="11">
        <v>215</v>
      </c>
      <c r="E46" s="11">
        <f t="shared" si="12"/>
        <v>149.10249999999999</v>
      </c>
      <c r="F46" s="13">
        <f t="shared" si="13"/>
        <v>180</v>
      </c>
      <c r="G46" s="13"/>
      <c r="H46" s="21" t="s">
        <v>9</v>
      </c>
      <c r="I46" s="23" t="s">
        <v>61</v>
      </c>
    </row>
    <row r="47" spans="1:9" ht="18" x14ac:dyDescent="0.3">
      <c r="A47" s="8" t="s">
        <v>80</v>
      </c>
      <c r="B47" s="25"/>
      <c r="C47" s="18" t="s">
        <v>81</v>
      </c>
      <c r="D47" s="11">
        <v>617</v>
      </c>
      <c r="E47" s="11">
        <f t="shared" si="12"/>
        <v>427.88949999999994</v>
      </c>
      <c r="F47" s="13">
        <f t="shared" si="13"/>
        <v>510</v>
      </c>
      <c r="G47" s="13"/>
      <c r="H47" s="21" t="s">
        <v>9</v>
      </c>
      <c r="I47" s="23" t="s">
        <v>61</v>
      </c>
    </row>
    <row r="48" spans="1:9" ht="18" x14ac:dyDescent="0.3">
      <c r="A48" s="8" t="s">
        <v>82</v>
      </c>
      <c r="B48" s="22"/>
      <c r="C48" s="18" t="s">
        <v>83</v>
      </c>
      <c r="D48" s="11">
        <v>826</v>
      </c>
      <c r="E48" s="11">
        <f t="shared" si="12"/>
        <v>572.83100000000002</v>
      </c>
      <c r="F48" s="13">
        <f t="shared" si="13"/>
        <v>680</v>
      </c>
      <c r="G48" s="13"/>
      <c r="H48" s="21" t="s">
        <v>9</v>
      </c>
      <c r="I48" s="23" t="s">
        <v>61</v>
      </c>
    </row>
    <row r="49" spans="1:9" ht="18" x14ac:dyDescent="0.3">
      <c r="A49" s="8" t="s">
        <v>84</v>
      </c>
      <c r="B49" s="22"/>
      <c r="C49" s="18" t="s">
        <v>85</v>
      </c>
      <c r="D49" s="11">
        <v>349</v>
      </c>
      <c r="E49" s="11">
        <f t="shared" si="12"/>
        <v>242.03149999999997</v>
      </c>
      <c r="F49" s="13">
        <f t="shared" si="13"/>
        <v>290</v>
      </c>
      <c r="G49" s="13"/>
      <c r="H49" s="21" t="s">
        <v>9</v>
      </c>
      <c r="I49" s="23" t="s">
        <v>61</v>
      </c>
    </row>
    <row r="50" spans="1:9" ht="18" x14ac:dyDescent="0.3">
      <c r="A50" s="21" t="s">
        <v>86</v>
      </c>
      <c r="B50" s="22"/>
      <c r="C50" s="18" t="s">
        <v>87</v>
      </c>
      <c r="D50" s="11">
        <v>445</v>
      </c>
      <c r="E50" s="11">
        <f t="shared" ref="E50:E57" si="14">D50*0.73*0.95</f>
        <v>308.60749999999996</v>
      </c>
      <c r="F50" s="13">
        <f t="shared" ref="F50:F57" si="15">ROUNDUP((E50*1.18),-1)</f>
        <v>370</v>
      </c>
      <c r="G50" s="13"/>
      <c r="H50" s="21" t="s">
        <v>9</v>
      </c>
      <c r="I50" s="23" t="s">
        <v>61</v>
      </c>
    </row>
    <row r="51" spans="1:9" ht="18" x14ac:dyDescent="0.3">
      <c r="A51" s="21" t="s">
        <v>88</v>
      </c>
      <c r="B51" s="24"/>
      <c r="C51" s="18" t="s">
        <v>89</v>
      </c>
      <c r="D51" s="11">
        <v>483</v>
      </c>
      <c r="E51" s="11">
        <f t="shared" si="14"/>
        <v>334.96049999999997</v>
      </c>
      <c r="F51" s="13">
        <f t="shared" si="15"/>
        <v>400</v>
      </c>
      <c r="G51" s="13"/>
      <c r="H51" s="21" t="s">
        <v>9</v>
      </c>
      <c r="I51" s="23" t="s">
        <v>61</v>
      </c>
    </row>
    <row r="52" spans="1:9" ht="18" x14ac:dyDescent="0.3">
      <c r="A52" s="8" t="s">
        <v>90</v>
      </c>
      <c r="B52" s="22"/>
      <c r="C52" s="10" t="s">
        <v>91</v>
      </c>
      <c r="D52" s="11">
        <v>295</v>
      </c>
      <c r="E52" s="11">
        <f t="shared" si="14"/>
        <v>204.58249999999998</v>
      </c>
      <c r="F52" s="13">
        <f t="shared" si="15"/>
        <v>250</v>
      </c>
      <c r="G52" s="13"/>
      <c r="H52" s="8" t="s">
        <v>9</v>
      </c>
      <c r="I52" s="23" t="s">
        <v>61</v>
      </c>
    </row>
    <row r="53" spans="1:9" ht="18" x14ac:dyDescent="0.3">
      <c r="A53" s="21" t="s">
        <v>92</v>
      </c>
      <c r="B53" s="22"/>
      <c r="C53" s="18" t="s">
        <v>93</v>
      </c>
      <c r="D53" s="11">
        <v>193</v>
      </c>
      <c r="E53" s="11">
        <f t="shared" si="14"/>
        <v>133.84549999999999</v>
      </c>
      <c r="F53" s="13">
        <f t="shared" si="15"/>
        <v>160</v>
      </c>
      <c r="G53" s="13"/>
      <c r="H53" s="21" t="s">
        <v>9</v>
      </c>
      <c r="I53" s="23" t="s">
        <v>61</v>
      </c>
    </row>
    <row r="54" spans="1:9" ht="18" x14ac:dyDescent="0.3">
      <c r="A54" s="21" t="s">
        <v>94</v>
      </c>
      <c r="B54" s="22"/>
      <c r="C54" s="18" t="s">
        <v>95</v>
      </c>
      <c r="D54" s="11">
        <v>55</v>
      </c>
      <c r="E54" s="11">
        <f t="shared" si="14"/>
        <v>38.142499999999998</v>
      </c>
      <c r="F54" s="13">
        <f t="shared" si="15"/>
        <v>50</v>
      </c>
      <c r="G54" s="13"/>
      <c r="H54" s="21" t="s">
        <v>9</v>
      </c>
      <c r="I54" s="23" t="s">
        <v>61</v>
      </c>
    </row>
    <row r="55" spans="1:9" ht="18" x14ac:dyDescent="0.3">
      <c r="A55" s="21" t="s">
        <v>96</v>
      </c>
      <c r="B55" s="22"/>
      <c r="C55" s="18" t="s">
        <v>97</v>
      </c>
      <c r="D55" s="11">
        <v>65</v>
      </c>
      <c r="E55" s="11">
        <f t="shared" si="14"/>
        <v>45.077499999999993</v>
      </c>
      <c r="F55" s="13">
        <f t="shared" si="15"/>
        <v>60</v>
      </c>
      <c r="G55" s="13"/>
      <c r="H55" s="21" t="s">
        <v>9</v>
      </c>
      <c r="I55" s="23" t="s">
        <v>61</v>
      </c>
    </row>
    <row r="56" spans="1:9" ht="18" x14ac:dyDescent="0.3">
      <c r="A56" s="21" t="s">
        <v>98</v>
      </c>
      <c r="B56" s="22"/>
      <c r="C56" s="18" t="s">
        <v>99</v>
      </c>
      <c r="D56" s="11">
        <v>247</v>
      </c>
      <c r="E56" s="11">
        <f t="shared" si="14"/>
        <v>171.2945</v>
      </c>
      <c r="F56" s="13">
        <f t="shared" si="15"/>
        <v>210</v>
      </c>
      <c r="G56" s="13"/>
      <c r="H56" s="21" t="s">
        <v>9</v>
      </c>
      <c r="I56" s="23" t="s">
        <v>61</v>
      </c>
    </row>
    <row r="57" spans="1:9" ht="18" x14ac:dyDescent="0.3">
      <c r="A57" s="21" t="s">
        <v>100</v>
      </c>
      <c r="C57" s="18" t="s">
        <v>101</v>
      </c>
      <c r="D57" s="11">
        <v>124</v>
      </c>
      <c r="E57" s="11">
        <f t="shared" si="14"/>
        <v>85.993999999999986</v>
      </c>
      <c r="F57" s="13">
        <f t="shared" si="15"/>
        <v>110</v>
      </c>
      <c r="G57" s="13"/>
      <c r="H57" s="21" t="s">
        <v>9</v>
      </c>
      <c r="I57" s="23" t="s">
        <v>61</v>
      </c>
    </row>
    <row r="58" spans="1:9" ht="18" x14ac:dyDescent="0.3">
      <c r="A58" s="26" t="s">
        <v>102</v>
      </c>
      <c r="B58" s="27"/>
      <c r="C58" s="28" t="s">
        <v>103</v>
      </c>
      <c r="D58" s="11">
        <v>263</v>
      </c>
      <c r="E58" s="11">
        <f t="shared" ref="E58:E64" si="16">D58*0.73*0.95</f>
        <v>182.3905</v>
      </c>
      <c r="F58" s="13">
        <f t="shared" ref="F58:F64" si="17">ROUNDUP((E58*1.18),-1)</f>
        <v>220</v>
      </c>
      <c r="G58" s="13"/>
      <c r="H58" s="26" t="s">
        <v>9</v>
      </c>
      <c r="I58" s="29" t="s">
        <v>104</v>
      </c>
    </row>
    <row r="59" spans="1:9" ht="18" x14ac:dyDescent="0.3">
      <c r="A59" s="26" t="s">
        <v>105</v>
      </c>
      <c r="B59" s="27"/>
      <c r="C59" s="28" t="s">
        <v>106</v>
      </c>
      <c r="D59" s="11">
        <v>437</v>
      </c>
      <c r="E59" s="11">
        <f t="shared" si="16"/>
        <v>303.05949999999996</v>
      </c>
      <c r="F59" s="13">
        <f t="shared" si="17"/>
        <v>360</v>
      </c>
      <c r="G59" s="13"/>
      <c r="H59" s="26" t="s">
        <v>9</v>
      </c>
      <c r="I59" s="29" t="s">
        <v>104</v>
      </c>
    </row>
    <row r="60" spans="1:9" ht="18" x14ac:dyDescent="0.3">
      <c r="A60" s="30" t="s">
        <v>107</v>
      </c>
      <c r="B60" s="31"/>
      <c r="C60" s="32" t="s">
        <v>108</v>
      </c>
      <c r="D60" s="11">
        <v>754</v>
      </c>
      <c r="E60" s="11">
        <f t="shared" si="16"/>
        <v>522.89899999999989</v>
      </c>
      <c r="F60" s="13">
        <f t="shared" si="17"/>
        <v>620</v>
      </c>
      <c r="G60" s="13"/>
      <c r="H60" s="30" t="s">
        <v>9</v>
      </c>
      <c r="I60" s="29" t="s">
        <v>104</v>
      </c>
    </row>
    <row r="61" spans="1:9" ht="18" x14ac:dyDescent="0.3">
      <c r="A61" s="30" t="s">
        <v>109</v>
      </c>
      <c r="B61" s="31"/>
      <c r="C61" s="32" t="s">
        <v>110</v>
      </c>
      <c r="D61" s="11">
        <v>618</v>
      </c>
      <c r="E61" s="11">
        <f t="shared" si="16"/>
        <v>428.58299999999997</v>
      </c>
      <c r="F61" s="13">
        <f t="shared" si="17"/>
        <v>510</v>
      </c>
      <c r="G61" s="13"/>
      <c r="H61" s="30" t="s">
        <v>9</v>
      </c>
      <c r="I61" s="29" t="s">
        <v>104</v>
      </c>
    </row>
    <row r="62" spans="1:9" ht="18" x14ac:dyDescent="0.3">
      <c r="A62" s="30" t="s">
        <v>111</v>
      </c>
      <c r="B62" s="31"/>
      <c r="C62" s="32" t="s">
        <v>112</v>
      </c>
      <c r="D62" s="11">
        <v>618</v>
      </c>
      <c r="E62" s="11">
        <f t="shared" si="16"/>
        <v>428.58299999999997</v>
      </c>
      <c r="F62" s="13">
        <f t="shared" si="17"/>
        <v>510</v>
      </c>
      <c r="G62" s="13"/>
      <c r="H62" s="30" t="s">
        <v>9</v>
      </c>
      <c r="I62" s="29" t="s">
        <v>104</v>
      </c>
    </row>
    <row r="63" spans="1:9" ht="18" x14ac:dyDescent="0.3">
      <c r="A63" s="30" t="s">
        <v>113</v>
      </c>
      <c r="B63" s="31"/>
      <c r="C63" s="32" t="s">
        <v>114</v>
      </c>
      <c r="D63" s="11">
        <v>618</v>
      </c>
      <c r="E63" s="11">
        <f t="shared" si="16"/>
        <v>428.58299999999997</v>
      </c>
      <c r="F63" s="13">
        <f t="shared" si="17"/>
        <v>510</v>
      </c>
      <c r="G63" s="13"/>
      <c r="H63" s="30" t="s">
        <v>9</v>
      </c>
      <c r="I63" s="29" t="s">
        <v>104</v>
      </c>
    </row>
    <row r="64" spans="1:9" ht="18" x14ac:dyDescent="0.3">
      <c r="A64" s="30" t="s">
        <v>115</v>
      </c>
      <c r="B64" s="31"/>
      <c r="C64" s="32" t="s">
        <v>116</v>
      </c>
      <c r="D64" s="11">
        <v>618</v>
      </c>
      <c r="E64" s="11">
        <f t="shared" si="16"/>
        <v>428.58299999999997</v>
      </c>
      <c r="F64" s="13">
        <f t="shared" si="17"/>
        <v>510</v>
      </c>
      <c r="G64" s="13"/>
      <c r="H64" s="30" t="s">
        <v>9</v>
      </c>
      <c r="I64" s="29" t="s">
        <v>104</v>
      </c>
    </row>
    <row r="65" spans="1:9" ht="18" x14ac:dyDescent="0.3">
      <c r="A65" s="33" t="s">
        <v>117</v>
      </c>
      <c r="B65" s="9" t="s">
        <v>1187</v>
      </c>
      <c r="C65" s="34" t="s">
        <v>1096</v>
      </c>
      <c r="D65" s="11">
        <v>16371</v>
      </c>
      <c r="E65" s="12">
        <f t="shared" ref="E65:E66" si="18">D65*0.73*0.95*0.97</f>
        <v>11012.689844999999</v>
      </c>
      <c r="F65" s="13">
        <f t="shared" ref="F65:F66" si="19">ROUNDUP((E65*1.15),-1)</f>
        <v>12670</v>
      </c>
      <c r="G65" s="13">
        <v>470</v>
      </c>
      <c r="H65" s="21" t="s">
        <v>9</v>
      </c>
      <c r="I65" s="35" t="s">
        <v>118</v>
      </c>
    </row>
    <row r="66" spans="1:9" ht="18" x14ac:dyDescent="0.3">
      <c r="A66" s="33" t="s">
        <v>119</v>
      </c>
      <c r="B66" s="9" t="s">
        <v>1187</v>
      </c>
      <c r="C66" s="10" t="s">
        <v>1097</v>
      </c>
      <c r="D66" s="11">
        <v>18352</v>
      </c>
      <c r="E66" s="12">
        <f t="shared" si="18"/>
        <v>12345.298639999999</v>
      </c>
      <c r="F66" s="13">
        <f t="shared" si="19"/>
        <v>14200</v>
      </c>
      <c r="G66" s="13">
        <v>470</v>
      </c>
      <c r="H66" s="21" t="s">
        <v>9</v>
      </c>
      <c r="I66" s="35" t="s">
        <v>118</v>
      </c>
    </row>
    <row r="67" spans="1:9" ht="18" x14ac:dyDescent="0.3">
      <c r="A67" s="33" t="s">
        <v>120</v>
      </c>
      <c r="B67" s="9" t="s">
        <v>1187</v>
      </c>
      <c r="C67" s="34" t="s">
        <v>1098</v>
      </c>
      <c r="D67" s="11">
        <v>17228</v>
      </c>
      <c r="E67" s="12">
        <f t="shared" ref="E67:E68" si="20">D67*0.73*0.95*0.97</f>
        <v>11589.18946</v>
      </c>
      <c r="F67" s="13">
        <f t="shared" ref="F67:F68" si="21">ROUNDUP((E67*1.15),-1)</f>
        <v>13330</v>
      </c>
      <c r="G67" s="13">
        <v>470</v>
      </c>
      <c r="H67" s="21" t="s">
        <v>9</v>
      </c>
      <c r="I67" s="35" t="s">
        <v>118</v>
      </c>
    </row>
    <row r="68" spans="1:9" ht="18" x14ac:dyDescent="0.3">
      <c r="A68" s="33" t="s">
        <v>121</v>
      </c>
      <c r="B68" s="9" t="s">
        <v>1187</v>
      </c>
      <c r="C68" s="10" t="s">
        <v>1099</v>
      </c>
      <c r="D68" s="11">
        <v>19049</v>
      </c>
      <c r="E68" s="12">
        <f t="shared" si="20"/>
        <v>12814.167055</v>
      </c>
      <c r="F68" s="13">
        <f t="shared" si="21"/>
        <v>14740</v>
      </c>
      <c r="G68" s="13">
        <v>470</v>
      </c>
      <c r="H68" s="21" t="s">
        <v>9</v>
      </c>
      <c r="I68" s="35" t="s">
        <v>118</v>
      </c>
    </row>
    <row r="69" spans="1:9" ht="18" x14ac:dyDescent="0.3">
      <c r="A69" s="8" t="s">
        <v>122</v>
      </c>
      <c r="B69" s="9" t="s">
        <v>1187</v>
      </c>
      <c r="C69" s="10" t="s">
        <v>1100</v>
      </c>
      <c r="D69" s="11">
        <v>17957</v>
      </c>
      <c r="E69" s="12">
        <f t="shared" ref="E69" si="22">D69*0.73*0.95*0.97</f>
        <v>12079.584115</v>
      </c>
      <c r="F69" s="13">
        <f t="shared" ref="F69" si="23">ROUNDUP((E69*1.15),-1)</f>
        <v>13900</v>
      </c>
      <c r="G69" s="13">
        <v>470</v>
      </c>
      <c r="H69" s="21" t="s">
        <v>9</v>
      </c>
      <c r="I69" s="35" t="s">
        <v>118</v>
      </c>
    </row>
    <row r="70" spans="1:9" ht="18" x14ac:dyDescent="0.3">
      <c r="A70" s="8" t="s">
        <v>1171</v>
      </c>
      <c r="B70" s="36" t="s">
        <v>14</v>
      </c>
      <c r="C70" s="10" t="s">
        <v>1168</v>
      </c>
      <c r="D70" s="11">
        <v>17695</v>
      </c>
      <c r="E70" s="12">
        <f t="shared" ref="E70:E74" si="24">D70*0.73*0.95*0.97</f>
        <v>11903.338024999999</v>
      </c>
      <c r="F70" s="13">
        <f t="shared" ref="F70:F74" si="25">ROUNDUP((E70*1.15),-1)</f>
        <v>13690</v>
      </c>
      <c r="G70" s="13">
        <v>470</v>
      </c>
      <c r="H70" s="21" t="s">
        <v>9</v>
      </c>
      <c r="I70" s="35" t="s">
        <v>118</v>
      </c>
    </row>
    <row r="71" spans="1:9" ht="18" x14ac:dyDescent="0.3">
      <c r="A71" s="8" t="s">
        <v>123</v>
      </c>
      <c r="B71" s="9" t="s">
        <v>1187</v>
      </c>
      <c r="C71" s="10" t="s">
        <v>1101</v>
      </c>
      <c r="D71" s="11">
        <v>19777</v>
      </c>
      <c r="E71" s="12">
        <f t="shared" si="24"/>
        <v>13303.889014999999</v>
      </c>
      <c r="F71" s="13">
        <f t="shared" si="25"/>
        <v>15300</v>
      </c>
      <c r="G71" s="13">
        <v>470</v>
      </c>
      <c r="H71" s="21" t="s">
        <v>9</v>
      </c>
      <c r="I71" s="35" t="s">
        <v>118</v>
      </c>
    </row>
    <row r="72" spans="1:9" ht="18" x14ac:dyDescent="0.3">
      <c r="A72" s="8" t="s">
        <v>1172</v>
      </c>
      <c r="B72" s="36" t="s">
        <v>14</v>
      </c>
      <c r="C72" s="10" t="s">
        <v>1169</v>
      </c>
      <c r="D72" s="11">
        <v>19517</v>
      </c>
      <c r="E72" s="12">
        <f t="shared" si="24"/>
        <v>13128.988314999999</v>
      </c>
      <c r="F72" s="13">
        <f t="shared" si="25"/>
        <v>15100</v>
      </c>
      <c r="G72" s="13">
        <v>470</v>
      </c>
      <c r="H72" s="21" t="s">
        <v>9</v>
      </c>
      <c r="I72" s="35" t="s">
        <v>118</v>
      </c>
    </row>
    <row r="73" spans="1:9" ht="18" x14ac:dyDescent="0.3">
      <c r="A73" s="8" t="s">
        <v>124</v>
      </c>
      <c r="B73" s="9" t="s">
        <v>1187</v>
      </c>
      <c r="C73" s="10" t="s">
        <v>1102</v>
      </c>
      <c r="D73" s="11">
        <v>24007</v>
      </c>
      <c r="E73" s="12">
        <f t="shared" si="24"/>
        <v>16149.388865000001</v>
      </c>
      <c r="F73" s="13">
        <f t="shared" si="25"/>
        <v>18580</v>
      </c>
      <c r="G73" s="13">
        <v>470</v>
      </c>
      <c r="H73" s="21" t="s">
        <v>9</v>
      </c>
      <c r="I73" s="35" t="s">
        <v>118</v>
      </c>
    </row>
    <row r="74" spans="1:9" ht="18" x14ac:dyDescent="0.3">
      <c r="A74" s="8" t="s">
        <v>1173</v>
      </c>
      <c r="B74" s="36" t="s">
        <v>14</v>
      </c>
      <c r="C74" s="10" t="s">
        <v>1170</v>
      </c>
      <c r="D74" s="11">
        <v>23747</v>
      </c>
      <c r="E74" s="12">
        <f t="shared" si="24"/>
        <v>15974.488164999999</v>
      </c>
      <c r="F74" s="13">
        <f t="shared" si="25"/>
        <v>18380</v>
      </c>
      <c r="G74" s="13">
        <v>470</v>
      </c>
      <c r="H74" s="21" t="s">
        <v>9</v>
      </c>
      <c r="I74" s="35" t="s">
        <v>118</v>
      </c>
    </row>
    <row r="75" spans="1:9" ht="18" x14ac:dyDescent="0.3">
      <c r="A75" s="8" t="s">
        <v>125</v>
      </c>
      <c r="B75" s="9" t="s">
        <v>1187</v>
      </c>
      <c r="C75" s="10" t="s">
        <v>1103</v>
      </c>
      <c r="D75" s="11">
        <v>20585</v>
      </c>
      <c r="E75" s="12">
        <f t="shared" ref="E75:E80" si="26">D75*0.73*0.95*0.97</f>
        <v>13847.426574999998</v>
      </c>
      <c r="F75" s="13">
        <f t="shared" ref="F75:F80" si="27">ROUNDUP((E75*1.15),-1)</f>
        <v>15930</v>
      </c>
      <c r="G75" s="13">
        <v>470</v>
      </c>
      <c r="H75" s="21" t="s">
        <v>9</v>
      </c>
      <c r="I75" s="35" t="s">
        <v>118</v>
      </c>
    </row>
    <row r="76" spans="1:9" ht="18" x14ac:dyDescent="0.3">
      <c r="A76" s="8" t="s">
        <v>126</v>
      </c>
      <c r="B76" s="36" t="s">
        <v>14</v>
      </c>
      <c r="C76" s="10" t="s">
        <v>127</v>
      </c>
      <c r="D76" s="11">
        <v>20441</v>
      </c>
      <c r="E76" s="12">
        <f t="shared" si="26"/>
        <v>13750.558494999999</v>
      </c>
      <c r="F76" s="13">
        <f t="shared" si="27"/>
        <v>15820</v>
      </c>
      <c r="G76" s="13">
        <v>470</v>
      </c>
      <c r="H76" s="21" t="s">
        <v>9</v>
      </c>
      <c r="I76" s="35" t="s">
        <v>118</v>
      </c>
    </row>
    <row r="77" spans="1:9" ht="18" x14ac:dyDescent="0.3">
      <c r="A77" s="8" t="s">
        <v>128</v>
      </c>
      <c r="B77" s="9" t="s">
        <v>1187</v>
      </c>
      <c r="C77" s="10" t="s">
        <v>1104</v>
      </c>
      <c r="D77" s="11">
        <v>23198</v>
      </c>
      <c r="E77" s="12">
        <f t="shared" si="26"/>
        <v>15605.178609999999</v>
      </c>
      <c r="F77" s="13">
        <f t="shared" si="27"/>
        <v>17950</v>
      </c>
      <c r="G77" s="13">
        <v>470</v>
      </c>
      <c r="H77" s="21" t="s">
        <v>9</v>
      </c>
      <c r="I77" s="35" t="s">
        <v>118</v>
      </c>
    </row>
    <row r="78" spans="1:9" ht="18" x14ac:dyDescent="0.3">
      <c r="A78" s="8" t="s">
        <v>129</v>
      </c>
      <c r="B78" s="36" t="s">
        <v>14</v>
      </c>
      <c r="C78" s="10" t="s">
        <v>130</v>
      </c>
      <c r="D78" s="11">
        <v>22984</v>
      </c>
      <c r="E78" s="12">
        <f t="shared" si="26"/>
        <v>15461.221879999999</v>
      </c>
      <c r="F78" s="13">
        <f t="shared" si="27"/>
        <v>17790</v>
      </c>
      <c r="G78" s="13">
        <v>470</v>
      </c>
      <c r="H78" s="21" t="s">
        <v>9</v>
      </c>
      <c r="I78" s="35" t="s">
        <v>118</v>
      </c>
    </row>
    <row r="79" spans="1:9" ht="18" x14ac:dyDescent="0.3">
      <c r="A79" s="8" t="s">
        <v>131</v>
      </c>
      <c r="B79" s="9" t="s">
        <v>1187</v>
      </c>
      <c r="C79" s="10" t="s">
        <v>1105</v>
      </c>
      <c r="D79" s="11">
        <v>27332</v>
      </c>
      <c r="E79" s="12">
        <f t="shared" si="26"/>
        <v>18386.099739999998</v>
      </c>
      <c r="F79" s="13">
        <f t="shared" si="27"/>
        <v>21150</v>
      </c>
      <c r="G79" s="13">
        <v>470</v>
      </c>
      <c r="H79" s="21" t="s">
        <v>9</v>
      </c>
      <c r="I79" s="35" t="s">
        <v>118</v>
      </c>
    </row>
    <row r="80" spans="1:9" ht="18" x14ac:dyDescent="0.3">
      <c r="A80" s="8" t="s">
        <v>132</v>
      </c>
      <c r="B80" s="36" t="s">
        <v>14</v>
      </c>
      <c r="C80" s="10" t="s">
        <v>133</v>
      </c>
      <c r="D80" s="11">
        <v>26610</v>
      </c>
      <c r="E80" s="12">
        <f t="shared" si="26"/>
        <v>17900.413949999998</v>
      </c>
      <c r="F80" s="13">
        <f t="shared" si="27"/>
        <v>20590</v>
      </c>
      <c r="G80" s="13">
        <v>470</v>
      </c>
      <c r="H80" s="21" t="s">
        <v>9</v>
      </c>
      <c r="I80" s="35" t="s">
        <v>118</v>
      </c>
    </row>
    <row r="81" spans="1:9" ht="18" x14ac:dyDescent="0.3">
      <c r="A81" s="8" t="s">
        <v>134</v>
      </c>
      <c r="B81" s="9" t="s">
        <v>1187</v>
      </c>
      <c r="C81" s="10" t="s">
        <v>1106</v>
      </c>
      <c r="D81" s="11">
        <v>22363</v>
      </c>
      <c r="E81" s="12">
        <f t="shared" ref="E81:E86" si="28">D81*0.73*0.95*0.97</f>
        <v>15043.478284999999</v>
      </c>
      <c r="F81" s="13">
        <f t="shared" ref="F81:F86" si="29">ROUNDUP((E81*1.15),-1)</f>
        <v>17310</v>
      </c>
      <c r="G81" s="13">
        <v>470</v>
      </c>
      <c r="H81" s="21" t="s">
        <v>9</v>
      </c>
      <c r="I81" s="35" t="s">
        <v>118</v>
      </c>
    </row>
    <row r="82" spans="1:9" ht="18" x14ac:dyDescent="0.3">
      <c r="A82" s="8" t="s">
        <v>135</v>
      </c>
      <c r="B82" s="36" t="s">
        <v>14</v>
      </c>
      <c r="C82" s="10" t="s">
        <v>136</v>
      </c>
      <c r="D82" s="11">
        <v>22653</v>
      </c>
      <c r="E82" s="12">
        <f t="shared" si="28"/>
        <v>15238.559834999998</v>
      </c>
      <c r="F82" s="13">
        <f t="shared" si="29"/>
        <v>17530</v>
      </c>
      <c r="G82" s="13">
        <v>470</v>
      </c>
      <c r="H82" s="21" t="s">
        <v>9</v>
      </c>
      <c r="I82" s="35" t="s">
        <v>118</v>
      </c>
    </row>
    <row r="83" spans="1:9" ht="18" x14ac:dyDescent="0.3">
      <c r="A83" s="8" t="s">
        <v>137</v>
      </c>
      <c r="B83" s="9" t="s">
        <v>1187</v>
      </c>
      <c r="C83" s="10" t="s">
        <v>1107</v>
      </c>
      <c r="D83" s="11">
        <v>25255</v>
      </c>
      <c r="E83" s="12">
        <f t="shared" si="28"/>
        <v>16988.912225</v>
      </c>
      <c r="F83" s="13">
        <f t="shared" si="29"/>
        <v>19540</v>
      </c>
      <c r="G83" s="13">
        <v>470</v>
      </c>
      <c r="H83" s="21" t="s">
        <v>9</v>
      </c>
      <c r="I83" s="35" t="s">
        <v>118</v>
      </c>
    </row>
    <row r="84" spans="1:9" ht="18" x14ac:dyDescent="0.3">
      <c r="A84" s="8" t="s">
        <v>138</v>
      </c>
      <c r="B84" s="36" t="s">
        <v>14</v>
      </c>
      <c r="C84" s="10" t="s">
        <v>139</v>
      </c>
      <c r="D84" s="11">
        <v>25523</v>
      </c>
      <c r="E84" s="12">
        <f t="shared" si="28"/>
        <v>17169.194485</v>
      </c>
      <c r="F84" s="13">
        <f t="shared" si="29"/>
        <v>19750</v>
      </c>
      <c r="G84" s="13">
        <v>470</v>
      </c>
      <c r="H84" s="21" t="s">
        <v>9</v>
      </c>
      <c r="I84" s="35" t="s">
        <v>118</v>
      </c>
    </row>
    <row r="85" spans="1:9" ht="18" x14ac:dyDescent="0.3">
      <c r="A85" s="8" t="s">
        <v>140</v>
      </c>
      <c r="B85" s="9" t="s">
        <v>1187</v>
      </c>
      <c r="C85" s="10" t="s">
        <v>1108</v>
      </c>
      <c r="D85" s="11">
        <v>29807</v>
      </c>
      <c r="E85" s="12">
        <f t="shared" si="28"/>
        <v>20051.019864999998</v>
      </c>
      <c r="F85" s="13">
        <f t="shared" si="29"/>
        <v>23060</v>
      </c>
      <c r="G85" s="13">
        <v>470</v>
      </c>
      <c r="H85" s="21" t="s">
        <v>9</v>
      </c>
      <c r="I85" s="35" t="s">
        <v>118</v>
      </c>
    </row>
    <row r="86" spans="1:9" ht="18" x14ac:dyDescent="0.3">
      <c r="A86" s="8" t="s">
        <v>141</v>
      </c>
      <c r="B86" s="36" t="s">
        <v>14</v>
      </c>
      <c r="C86" s="10" t="s">
        <v>142</v>
      </c>
      <c r="D86" s="11">
        <v>29186</v>
      </c>
      <c r="E86" s="12">
        <f t="shared" si="28"/>
        <v>19633.276269999998</v>
      </c>
      <c r="F86" s="13">
        <f t="shared" si="29"/>
        <v>22580</v>
      </c>
      <c r="G86" s="13">
        <v>470</v>
      </c>
      <c r="H86" s="21" t="s">
        <v>9</v>
      </c>
      <c r="I86" s="35" t="s">
        <v>118</v>
      </c>
    </row>
    <row r="87" spans="1:9" ht="18" x14ac:dyDescent="0.3">
      <c r="A87" s="96" t="s">
        <v>143</v>
      </c>
      <c r="B87" s="9" t="s">
        <v>1187</v>
      </c>
      <c r="C87" s="34" t="s">
        <v>1109</v>
      </c>
      <c r="D87" s="11">
        <v>19209</v>
      </c>
      <c r="E87" s="12">
        <f t="shared" ref="E87:E92" si="30">D87*0.73*0.95*0.97</f>
        <v>12921.798254999998</v>
      </c>
      <c r="F87" s="13">
        <f t="shared" ref="F87:F92" si="31">ROUNDUP((E87*1.15),-1)</f>
        <v>14870</v>
      </c>
      <c r="G87" s="13">
        <v>470</v>
      </c>
      <c r="H87" s="21" t="s">
        <v>9</v>
      </c>
      <c r="I87" s="35" t="s">
        <v>118</v>
      </c>
    </row>
    <row r="88" spans="1:9" ht="18" x14ac:dyDescent="0.3">
      <c r="A88" s="96" t="s">
        <v>1174</v>
      </c>
      <c r="B88" s="15" t="s">
        <v>14</v>
      </c>
      <c r="C88" s="34" t="s">
        <v>1177</v>
      </c>
      <c r="D88" s="11">
        <v>18950</v>
      </c>
      <c r="E88" s="12">
        <f t="shared" si="30"/>
        <v>12747.570249999999</v>
      </c>
      <c r="F88" s="13">
        <f t="shared" si="31"/>
        <v>14660</v>
      </c>
      <c r="G88" s="13">
        <v>470</v>
      </c>
      <c r="H88" s="21" t="s">
        <v>9</v>
      </c>
      <c r="I88" s="35" t="s">
        <v>118</v>
      </c>
    </row>
    <row r="89" spans="1:9" ht="18" x14ac:dyDescent="0.3">
      <c r="A89" s="96" t="s">
        <v>144</v>
      </c>
      <c r="B89" s="9" t="s">
        <v>1187</v>
      </c>
      <c r="C89" s="34" t="s">
        <v>1110</v>
      </c>
      <c r="D89" s="11">
        <v>20618</v>
      </c>
      <c r="E89" s="12">
        <f t="shared" si="30"/>
        <v>13869.625509999998</v>
      </c>
      <c r="F89" s="13">
        <f t="shared" si="31"/>
        <v>15960</v>
      </c>
      <c r="G89" s="13">
        <v>470</v>
      </c>
      <c r="H89" s="21" t="s">
        <v>9</v>
      </c>
      <c r="I89" s="35" t="s">
        <v>118</v>
      </c>
    </row>
    <row r="90" spans="1:9" ht="18" x14ac:dyDescent="0.3">
      <c r="A90" s="96" t="s">
        <v>1175</v>
      </c>
      <c r="B90" s="15" t="s">
        <v>14</v>
      </c>
      <c r="C90" s="34" t="s">
        <v>1178</v>
      </c>
      <c r="D90" s="11">
        <v>21054</v>
      </c>
      <c r="E90" s="12">
        <f t="shared" si="30"/>
        <v>14162.920529999998</v>
      </c>
      <c r="F90" s="13">
        <f t="shared" si="31"/>
        <v>16290</v>
      </c>
      <c r="G90" s="13">
        <v>470</v>
      </c>
      <c r="H90" s="21" t="s">
        <v>9</v>
      </c>
      <c r="I90" s="35" t="s">
        <v>118</v>
      </c>
    </row>
    <row r="91" spans="1:9" ht="18" x14ac:dyDescent="0.3">
      <c r="A91" s="96" t="s">
        <v>145</v>
      </c>
      <c r="B91" s="9" t="s">
        <v>1187</v>
      </c>
      <c r="C91" s="34" t="s">
        <v>1111</v>
      </c>
      <c r="D91" s="11">
        <v>24950</v>
      </c>
      <c r="E91" s="12">
        <f t="shared" si="30"/>
        <v>16783.740249999999</v>
      </c>
      <c r="F91" s="13">
        <f t="shared" si="31"/>
        <v>19310</v>
      </c>
      <c r="G91" s="13">
        <v>470</v>
      </c>
      <c r="H91" s="21" t="s">
        <v>9</v>
      </c>
      <c r="I91" s="35" t="s">
        <v>118</v>
      </c>
    </row>
    <row r="92" spans="1:9" ht="18" x14ac:dyDescent="0.3">
      <c r="A92" s="96" t="s">
        <v>1176</v>
      </c>
      <c r="B92" s="15" t="s">
        <v>14</v>
      </c>
      <c r="C92" s="34" t="s">
        <v>1179</v>
      </c>
      <c r="D92" s="11">
        <v>25386</v>
      </c>
      <c r="E92" s="12">
        <f t="shared" si="30"/>
        <v>17077.035269999997</v>
      </c>
      <c r="F92" s="13">
        <f t="shared" si="31"/>
        <v>19640</v>
      </c>
      <c r="G92" s="13">
        <v>470</v>
      </c>
      <c r="H92" s="21" t="s">
        <v>9</v>
      </c>
      <c r="I92" s="35" t="s">
        <v>118</v>
      </c>
    </row>
    <row r="93" spans="1:9" ht="18" x14ac:dyDescent="0.3">
      <c r="A93" s="8" t="s">
        <v>146</v>
      </c>
      <c r="B93" s="9" t="s">
        <v>1187</v>
      </c>
      <c r="C93" s="10" t="s">
        <v>1112</v>
      </c>
      <c r="D93" s="11">
        <v>21056</v>
      </c>
      <c r="E93" s="12">
        <f t="shared" ref="E93:E98" si="32">D93*0.73*0.95*0.97</f>
        <v>14164.26592</v>
      </c>
      <c r="F93" s="13">
        <f t="shared" ref="F93:F98" si="33">ROUNDUP((E93*1.15),-1)</f>
        <v>16290</v>
      </c>
      <c r="G93" s="13">
        <v>470</v>
      </c>
      <c r="H93" s="21" t="s">
        <v>9</v>
      </c>
      <c r="I93" s="35" t="s">
        <v>118</v>
      </c>
    </row>
    <row r="94" spans="1:9" ht="18" x14ac:dyDescent="0.3">
      <c r="A94" s="8" t="s">
        <v>147</v>
      </c>
      <c r="B94" s="15" t="s">
        <v>14</v>
      </c>
      <c r="C94" s="10" t="s">
        <v>148</v>
      </c>
      <c r="D94" s="11">
        <v>21801</v>
      </c>
      <c r="E94" s="12">
        <f t="shared" si="32"/>
        <v>14665.423694999998</v>
      </c>
      <c r="F94" s="13">
        <f t="shared" si="33"/>
        <v>16870</v>
      </c>
      <c r="G94" s="13">
        <v>470</v>
      </c>
      <c r="H94" s="21" t="s">
        <v>9</v>
      </c>
      <c r="I94" s="35" t="s">
        <v>118</v>
      </c>
    </row>
    <row r="95" spans="1:9" ht="18" x14ac:dyDescent="0.3">
      <c r="A95" s="8" t="s">
        <v>149</v>
      </c>
      <c r="B95" s="9" t="s">
        <v>1187</v>
      </c>
      <c r="C95" s="10" t="s">
        <v>1113</v>
      </c>
      <c r="D95" s="11">
        <v>23258</v>
      </c>
      <c r="E95" s="12">
        <f t="shared" si="32"/>
        <v>15645.540309999998</v>
      </c>
      <c r="F95" s="13">
        <f t="shared" si="33"/>
        <v>18000</v>
      </c>
      <c r="G95" s="13">
        <v>470</v>
      </c>
      <c r="H95" s="21" t="s">
        <v>9</v>
      </c>
      <c r="I95" s="35" t="s">
        <v>118</v>
      </c>
    </row>
    <row r="96" spans="1:9" ht="18" x14ac:dyDescent="0.3">
      <c r="A96" s="8" t="s">
        <v>150</v>
      </c>
      <c r="B96" s="15" t="s">
        <v>14</v>
      </c>
      <c r="C96" s="10" t="s">
        <v>151</v>
      </c>
      <c r="D96" s="11">
        <v>23611</v>
      </c>
      <c r="E96" s="12">
        <f t="shared" si="32"/>
        <v>15883.001644999997</v>
      </c>
      <c r="F96" s="13">
        <f t="shared" si="33"/>
        <v>18270</v>
      </c>
      <c r="G96" s="13">
        <v>470</v>
      </c>
      <c r="H96" s="21" t="s">
        <v>9</v>
      </c>
      <c r="I96" s="35" t="s">
        <v>118</v>
      </c>
    </row>
    <row r="97" spans="1:9" ht="18" x14ac:dyDescent="0.3">
      <c r="A97" s="8" t="s">
        <v>152</v>
      </c>
      <c r="B97" s="9" t="s">
        <v>1187</v>
      </c>
      <c r="C97" s="10" t="s">
        <v>1114</v>
      </c>
      <c r="D97" s="11">
        <v>26990</v>
      </c>
      <c r="E97" s="12">
        <f t="shared" si="32"/>
        <v>18156.038049999999</v>
      </c>
      <c r="F97" s="13">
        <f t="shared" si="33"/>
        <v>20880</v>
      </c>
      <c r="G97" s="13">
        <v>470</v>
      </c>
      <c r="H97" s="21" t="s">
        <v>9</v>
      </c>
      <c r="I97" s="35" t="s">
        <v>118</v>
      </c>
    </row>
    <row r="98" spans="1:9" ht="18" x14ac:dyDescent="0.3">
      <c r="A98" s="8" t="s">
        <v>153</v>
      </c>
      <c r="B98" s="15" t="s">
        <v>14</v>
      </c>
      <c r="C98" s="10" t="s">
        <v>154</v>
      </c>
      <c r="D98" s="11">
        <v>27477</v>
      </c>
      <c r="E98" s="12">
        <f t="shared" si="32"/>
        <v>18483.640514999996</v>
      </c>
      <c r="F98" s="13">
        <f t="shared" si="33"/>
        <v>21260</v>
      </c>
      <c r="G98" s="13">
        <v>470</v>
      </c>
      <c r="H98" s="21" t="s">
        <v>9</v>
      </c>
      <c r="I98" s="35" t="s">
        <v>118</v>
      </c>
    </row>
    <row r="99" spans="1:9" ht="18" x14ac:dyDescent="0.3">
      <c r="A99" s="8" t="s">
        <v>155</v>
      </c>
      <c r="B99" s="9" t="s">
        <v>1187</v>
      </c>
      <c r="C99" s="10" t="s">
        <v>1115</v>
      </c>
      <c r="D99" s="11">
        <v>22979</v>
      </c>
      <c r="E99" s="12">
        <f t="shared" ref="E99:E104" si="34">D99*0.73*0.95*0.97</f>
        <v>15457.858404999997</v>
      </c>
      <c r="F99" s="13">
        <f t="shared" ref="F99:F104" si="35">ROUNDUP((E99*1.15),-1)</f>
        <v>17780</v>
      </c>
      <c r="G99" s="13">
        <v>470</v>
      </c>
      <c r="H99" s="21" t="s">
        <v>9</v>
      </c>
      <c r="I99" s="35" t="s">
        <v>118</v>
      </c>
    </row>
    <row r="100" spans="1:9" ht="18" x14ac:dyDescent="0.3">
      <c r="A100" s="8" t="s">
        <v>156</v>
      </c>
      <c r="B100" s="15" t="s">
        <v>14</v>
      </c>
      <c r="C100" s="10" t="s">
        <v>157</v>
      </c>
      <c r="D100" s="11">
        <v>23091</v>
      </c>
      <c r="E100" s="12">
        <f t="shared" si="34"/>
        <v>15533.200245</v>
      </c>
      <c r="F100" s="13">
        <f t="shared" si="35"/>
        <v>17870</v>
      </c>
      <c r="G100" s="13">
        <v>470</v>
      </c>
      <c r="H100" s="21" t="s">
        <v>9</v>
      </c>
      <c r="I100" s="35" t="s">
        <v>118</v>
      </c>
    </row>
    <row r="101" spans="1:9" ht="18" x14ac:dyDescent="0.3">
      <c r="A101" s="8" t="s">
        <v>158</v>
      </c>
      <c r="B101" s="9" t="s">
        <v>1187</v>
      </c>
      <c r="C101" s="10" t="s">
        <v>1116</v>
      </c>
      <c r="D101" s="11">
        <v>25378</v>
      </c>
      <c r="E101" s="12">
        <f t="shared" si="34"/>
        <v>17071.653709999995</v>
      </c>
      <c r="F101" s="13">
        <f t="shared" si="35"/>
        <v>19640</v>
      </c>
      <c r="G101" s="13">
        <v>470</v>
      </c>
      <c r="H101" s="21" t="s">
        <v>9</v>
      </c>
      <c r="I101" s="35" t="s">
        <v>118</v>
      </c>
    </row>
    <row r="102" spans="1:9" ht="18" x14ac:dyDescent="0.3">
      <c r="A102" s="8" t="s">
        <v>159</v>
      </c>
      <c r="B102" s="15" t="s">
        <v>14</v>
      </c>
      <c r="C102" s="10" t="s">
        <v>160</v>
      </c>
      <c r="D102" s="11">
        <v>25711</v>
      </c>
      <c r="E102" s="12">
        <f t="shared" si="34"/>
        <v>17295.661144999998</v>
      </c>
      <c r="F102" s="13">
        <f t="shared" si="35"/>
        <v>19900</v>
      </c>
      <c r="G102" s="13">
        <v>470</v>
      </c>
      <c r="H102" s="21" t="s">
        <v>9</v>
      </c>
      <c r="I102" s="35" t="s">
        <v>118</v>
      </c>
    </row>
    <row r="103" spans="1:9" ht="18" x14ac:dyDescent="0.3">
      <c r="A103" s="8" t="s">
        <v>161</v>
      </c>
      <c r="B103" s="9" t="s">
        <v>1187</v>
      </c>
      <c r="C103" s="10" t="s">
        <v>1117</v>
      </c>
      <c r="D103" s="11">
        <v>29352</v>
      </c>
      <c r="E103" s="12">
        <f t="shared" si="34"/>
        <v>19744.943639999998</v>
      </c>
      <c r="F103" s="13">
        <f t="shared" si="35"/>
        <v>22710</v>
      </c>
      <c r="G103" s="13">
        <v>470</v>
      </c>
      <c r="H103" s="21" t="s">
        <v>9</v>
      </c>
      <c r="I103" s="35" t="s">
        <v>118</v>
      </c>
    </row>
    <row r="104" spans="1:9" ht="18" x14ac:dyDescent="0.3">
      <c r="A104" s="8" t="s">
        <v>162</v>
      </c>
      <c r="B104" s="15" t="s">
        <v>14</v>
      </c>
      <c r="C104" s="10" t="s">
        <v>163</v>
      </c>
      <c r="D104" s="11">
        <v>29881</v>
      </c>
      <c r="E104" s="12">
        <f t="shared" si="34"/>
        <v>20100.799295000001</v>
      </c>
      <c r="F104" s="13">
        <f t="shared" si="35"/>
        <v>23120</v>
      </c>
      <c r="G104" s="13">
        <v>470</v>
      </c>
      <c r="H104" s="21" t="s">
        <v>9</v>
      </c>
      <c r="I104" s="35" t="s">
        <v>118</v>
      </c>
    </row>
    <row r="105" spans="1:9" ht="18" x14ac:dyDescent="0.3">
      <c r="A105" s="37" t="s">
        <v>164</v>
      </c>
      <c r="B105" s="9" t="s">
        <v>1187</v>
      </c>
      <c r="C105" s="10" t="s">
        <v>1118</v>
      </c>
      <c r="D105" s="11">
        <v>32473</v>
      </c>
      <c r="E105" s="12">
        <f t="shared" ref="E105:E112" si="36">D105*0.73*0.95*0.97</f>
        <v>21844.424735000001</v>
      </c>
      <c r="F105" s="13">
        <f t="shared" ref="F105:F112" si="37">ROUNDUP((E105*1.15),-1)</f>
        <v>25130</v>
      </c>
      <c r="G105" s="13">
        <v>680</v>
      </c>
      <c r="H105" s="21" t="s">
        <v>9</v>
      </c>
      <c r="I105" s="35" t="s">
        <v>118</v>
      </c>
    </row>
    <row r="106" spans="1:9" ht="18" x14ac:dyDescent="0.3">
      <c r="A106" s="37" t="s">
        <v>165</v>
      </c>
      <c r="B106" s="15" t="s">
        <v>14</v>
      </c>
      <c r="C106" s="10" t="s">
        <v>166</v>
      </c>
      <c r="D106" s="11">
        <v>32987</v>
      </c>
      <c r="E106" s="12">
        <f t="shared" si="36"/>
        <v>22190.189964999998</v>
      </c>
      <c r="F106" s="13">
        <f t="shared" si="37"/>
        <v>25520</v>
      </c>
      <c r="G106" s="13">
        <v>680</v>
      </c>
      <c r="H106" s="21" t="s">
        <v>9</v>
      </c>
      <c r="I106" s="35" t="s">
        <v>118</v>
      </c>
    </row>
    <row r="107" spans="1:9" ht="18" x14ac:dyDescent="0.3">
      <c r="A107" s="37" t="s">
        <v>167</v>
      </c>
      <c r="B107" s="9" t="s">
        <v>1187</v>
      </c>
      <c r="C107" s="10" t="s">
        <v>1119</v>
      </c>
      <c r="D107" s="11">
        <v>35793</v>
      </c>
      <c r="E107" s="12">
        <f t="shared" si="36"/>
        <v>24077.772134999996</v>
      </c>
      <c r="F107" s="13">
        <f t="shared" si="37"/>
        <v>27690</v>
      </c>
      <c r="G107" s="13">
        <v>680</v>
      </c>
      <c r="H107" s="21" t="s">
        <v>9</v>
      </c>
      <c r="I107" s="35" t="s">
        <v>118</v>
      </c>
    </row>
    <row r="108" spans="1:9" ht="18" x14ac:dyDescent="0.3">
      <c r="A108" s="37" t="s">
        <v>168</v>
      </c>
      <c r="B108" s="15" t="s">
        <v>14</v>
      </c>
      <c r="C108" s="10" t="s">
        <v>169</v>
      </c>
      <c r="D108" s="11">
        <v>35607</v>
      </c>
      <c r="E108" s="12">
        <f t="shared" si="36"/>
        <v>23952.650865</v>
      </c>
      <c r="F108" s="13">
        <f t="shared" si="37"/>
        <v>27550</v>
      </c>
      <c r="G108" s="13">
        <v>680</v>
      </c>
      <c r="H108" s="21" t="s">
        <v>9</v>
      </c>
      <c r="I108" s="35" t="s">
        <v>118</v>
      </c>
    </row>
    <row r="109" spans="1:9" ht="18" x14ac:dyDescent="0.3">
      <c r="A109" s="37" t="s">
        <v>170</v>
      </c>
      <c r="B109" s="9" t="s">
        <v>1187</v>
      </c>
      <c r="C109" s="10" t="s">
        <v>1120</v>
      </c>
      <c r="D109" s="11">
        <v>38664</v>
      </c>
      <c r="E109" s="12">
        <f t="shared" si="36"/>
        <v>26009.079479999997</v>
      </c>
      <c r="F109" s="13">
        <f t="shared" si="37"/>
        <v>29920</v>
      </c>
      <c r="G109" s="13">
        <v>680</v>
      </c>
      <c r="H109" s="21" t="s">
        <v>9</v>
      </c>
      <c r="I109" s="35" t="s">
        <v>118</v>
      </c>
    </row>
    <row r="110" spans="1:9" ht="18" x14ac:dyDescent="0.3">
      <c r="A110" s="37" t="s">
        <v>171</v>
      </c>
      <c r="B110" s="15" t="s">
        <v>14</v>
      </c>
      <c r="C110" s="10" t="s">
        <v>172</v>
      </c>
      <c r="D110" s="11">
        <v>38252</v>
      </c>
      <c r="E110" s="12">
        <f t="shared" si="36"/>
        <v>25731.929139999997</v>
      </c>
      <c r="F110" s="13">
        <f t="shared" si="37"/>
        <v>29600</v>
      </c>
      <c r="G110" s="13">
        <v>680</v>
      </c>
      <c r="H110" s="21" t="s">
        <v>9</v>
      </c>
      <c r="I110" s="35" t="s">
        <v>118</v>
      </c>
    </row>
    <row r="111" spans="1:9" ht="18" x14ac:dyDescent="0.3">
      <c r="A111" s="37" t="s">
        <v>173</v>
      </c>
      <c r="B111" s="9" t="s">
        <v>1187</v>
      </c>
      <c r="C111" s="10" t="s">
        <v>1121</v>
      </c>
      <c r="D111" s="11">
        <v>42626</v>
      </c>
      <c r="E111" s="12">
        <f t="shared" si="36"/>
        <v>28674.297069999997</v>
      </c>
      <c r="F111" s="13">
        <f t="shared" si="37"/>
        <v>32980</v>
      </c>
      <c r="G111" s="13">
        <v>680</v>
      </c>
      <c r="H111" s="21" t="s">
        <v>9</v>
      </c>
      <c r="I111" s="35" t="s">
        <v>118</v>
      </c>
    </row>
    <row r="112" spans="1:9" ht="18" x14ac:dyDescent="0.3">
      <c r="A112" s="37" t="s">
        <v>174</v>
      </c>
      <c r="B112" s="15" t="s">
        <v>14</v>
      </c>
      <c r="C112" s="10" t="s">
        <v>175</v>
      </c>
      <c r="D112" s="11">
        <v>41572</v>
      </c>
      <c r="E112" s="12">
        <f t="shared" si="36"/>
        <v>27965.276539999995</v>
      </c>
      <c r="F112" s="13">
        <f t="shared" si="37"/>
        <v>32170</v>
      </c>
      <c r="G112" s="13">
        <v>680</v>
      </c>
      <c r="H112" s="21" t="s">
        <v>9</v>
      </c>
      <c r="I112" s="35" t="s">
        <v>118</v>
      </c>
    </row>
    <row r="113" spans="1:9" ht="18" x14ac:dyDescent="0.3">
      <c r="A113" s="37" t="s">
        <v>176</v>
      </c>
      <c r="B113" s="9" t="s">
        <v>1187</v>
      </c>
      <c r="C113" s="10" t="s">
        <v>1122</v>
      </c>
      <c r="D113" s="11">
        <v>33689</v>
      </c>
      <c r="E113" s="12">
        <f t="shared" ref="E113:E120" si="38">D113*0.73*0.95*0.97</f>
        <v>22662.421854999997</v>
      </c>
      <c r="F113" s="13">
        <f t="shared" ref="F113:F120" si="39">ROUNDUP((E113*1.15),-1)</f>
        <v>26070</v>
      </c>
      <c r="G113" s="13">
        <v>680</v>
      </c>
      <c r="H113" s="21" t="s">
        <v>9</v>
      </c>
      <c r="I113" s="35" t="s">
        <v>118</v>
      </c>
    </row>
    <row r="114" spans="1:9" ht="18" x14ac:dyDescent="0.3">
      <c r="A114" s="37" t="s">
        <v>177</v>
      </c>
      <c r="B114" s="15" t="s">
        <v>14</v>
      </c>
      <c r="C114" s="10" t="s">
        <v>178</v>
      </c>
      <c r="D114" s="11">
        <v>34043</v>
      </c>
      <c r="E114" s="12">
        <f t="shared" si="38"/>
        <v>22900.555884999998</v>
      </c>
      <c r="F114" s="13">
        <f t="shared" si="39"/>
        <v>26340</v>
      </c>
      <c r="G114" s="13">
        <v>680</v>
      </c>
      <c r="H114" s="21" t="s">
        <v>9</v>
      </c>
      <c r="I114" s="35" t="s">
        <v>118</v>
      </c>
    </row>
    <row r="115" spans="1:9" ht="18" x14ac:dyDescent="0.3">
      <c r="A115" s="37" t="s">
        <v>179</v>
      </c>
      <c r="B115" s="9" t="s">
        <v>1187</v>
      </c>
      <c r="C115" s="10" t="s">
        <v>1123</v>
      </c>
      <c r="D115" s="11">
        <v>37299</v>
      </c>
      <c r="E115" s="12">
        <f t="shared" si="38"/>
        <v>25090.850804999998</v>
      </c>
      <c r="F115" s="13">
        <f t="shared" si="39"/>
        <v>28860</v>
      </c>
      <c r="G115" s="13">
        <v>680</v>
      </c>
      <c r="H115" s="21" t="s">
        <v>9</v>
      </c>
      <c r="I115" s="35" t="s">
        <v>118</v>
      </c>
    </row>
    <row r="116" spans="1:9" ht="18" x14ac:dyDescent="0.3">
      <c r="A116" s="37" t="s">
        <v>180</v>
      </c>
      <c r="B116" s="15" t="s">
        <v>14</v>
      </c>
      <c r="C116" s="10" t="s">
        <v>181</v>
      </c>
      <c r="D116" s="11">
        <v>37856</v>
      </c>
      <c r="E116" s="12">
        <f t="shared" si="38"/>
        <v>25465.54192</v>
      </c>
      <c r="F116" s="13">
        <f t="shared" si="39"/>
        <v>29290</v>
      </c>
      <c r="G116" s="13">
        <v>680</v>
      </c>
      <c r="H116" s="21" t="s">
        <v>9</v>
      </c>
      <c r="I116" s="35" t="s">
        <v>118</v>
      </c>
    </row>
    <row r="117" spans="1:9" ht="18" x14ac:dyDescent="0.3">
      <c r="A117" s="37" t="s">
        <v>182</v>
      </c>
      <c r="B117" s="9" t="s">
        <v>1187</v>
      </c>
      <c r="C117" s="10" t="s">
        <v>1124</v>
      </c>
      <c r="D117" s="11">
        <v>40565</v>
      </c>
      <c r="E117" s="12">
        <f t="shared" si="38"/>
        <v>27287.872674999999</v>
      </c>
      <c r="F117" s="13">
        <f t="shared" si="39"/>
        <v>31390</v>
      </c>
      <c r="G117" s="13">
        <v>680</v>
      </c>
      <c r="H117" s="21" t="s">
        <v>9</v>
      </c>
      <c r="I117" s="35" t="s">
        <v>118</v>
      </c>
    </row>
    <row r="118" spans="1:9" ht="18" x14ac:dyDescent="0.3">
      <c r="A118" s="37" t="s">
        <v>183</v>
      </c>
      <c r="B118" s="15" t="s">
        <v>14</v>
      </c>
      <c r="C118" s="10" t="s">
        <v>184</v>
      </c>
      <c r="D118" s="11">
        <v>40651</v>
      </c>
      <c r="E118" s="12">
        <f t="shared" si="38"/>
        <v>27345.724445</v>
      </c>
      <c r="F118" s="13">
        <f t="shared" si="39"/>
        <v>31450</v>
      </c>
      <c r="G118" s="13">
        <v>680</v>
      </c>
      <c r="H118" s="21" t="s">
        <v>9</v>
      </c>
      <c r="I118" s="35" t="s">
        <v>118</v>
      </c>
    </row>
    <row r="119" spans="1:9" ht="18" x14ac:dyDescent="0.3">
      <c r="A119" s="37" t="s">
        <v>185</v>
      </c>
      <c r="B119" s="9" t="s">
        <v>1187</v>
      </c>
      <c r="C119" s="10" t="s">
        <v>1125</v>
      </c>
      <c r="D119" s="11">
        <v>44389</v>
      </c>
      <c r="E119" s="12">
        <f t="shared" si="38"/>
        <v>29860.258354999994</v>
      </c>
      <c r="F119" s="13">
        <f t="shared" si="39"/>
        <v>34340</v>
      </c>
      <c r="G119" s="13">
        <v>680</v>
      </c>
      <c r="H119" s="21" t="s">
        <v>9</v>
      </c>
      <c r="I119" s="35" t="s">
        <v>118</v>
      </c>
    </row>
    <row r="120" spans="1:9" ht="18" x14ac:dyDescent="0.3">
      <c r="A120" s="37" t="s">
        <v>186</v>
      </c>
      <c r="B120" s="15" t="s">
        <v>14</v>
      </c>
      <c r="C120" s="10" t="s">
        <v>187</v>
      </c>
      <c r="D120" s="11">
        <v>44463</v>
      </c>
      <c r="E120" s="12">
        <f t="shared" si="38"/>
        <v>29910.037784999997</v>
      </c>
      <c r="F120" s="13">
        <f t="shared" si="39"/>
        <v>34400</v>
      </c>
      <c r="G120" s="13">
        <v>680</v>
      </c>
      <c r="H120" s="21" t="s">
        <v>9</v>
      </c>
      <c r="I120" s="35" t="s">
        <v>118</v>
      </c>
    </row>
    <row r="121" spans="1:9" ht="18" x14ac:dyDescent="0.3">
      <c r="A121" s="37" t="s">
        <v>188</v>
      </c>
      <c r="B121" s="9" t="s">
        <v>1187</v>
      </c>
      <c r="C121" s="10" t="s">
        <v>1126</v>
      </c>
      <c r="D121" s="11">
        <v>35815</v>
      </c>
      <c r="E121" s="12">
        <f t="shared" ref="E121:E128" si="40">D121*0.73*0.95*0.97</f>
        <v>24092.571424999998</v>
      </c>
      <c r="F121" s="13">
        <f t="shared" ref="F121:F128" si="41">ROUNDUP((E121*1.15),-1)</f>
        <v>27710</v>
      </c>
      <c r="G121" s="13">
        <v>680</v>
      </c>
      <c r="H121" s="21" t="s">
        <v>9</v>
      </c>
      <c r="I121" s="35" t="s">
        <v>118</v>
      </c>
    </row>
    <row r="122" spans="1:9" ht="18" x14ac:dyDescent="0.3">
      <c r="A122" s="37" t="s">
        <v>189</v>
      </c>
      <c r="B122" s="15" t="s">
        <v>14</v>
      </c>
      <c r="C122" s="10" t="s">
        <v>190</v>
      </c>
      <c r="D122" s="11">
        <v>36147</v>
      </c>
      <c r="E122" s="12">
        <f t="shared" si="40"/>
        <v>24315.906164999997</v>
      </c>
      <c r="F122" s="13">
        <f t="shared" si="41"/>
        <v>27970</v>
      </c>
      <c r="G122" s="13">
        <v>680</v>
      </c>
      <c r="H122" s="21" t="s">
        <v>9</v>
      </c>
      <c r="I122" s="35" t="s">
        <v>118</v>
      </c>
    </row>
    <row r="123" spans="1:9" ht="18" x14ac:dyDescent="0.3">
      <c r="A123" s="37" t="s">
        <v>191</v>
      </c>
      <c r="B123" s="9" t="s">
        <v>1187</v>
      </c>
      <c r="C123" s="10" t="s">
        <v>1127</v>
      </c>
      <c r="D123" s="11">
        <v>39933</v>
      </c>
      <c r="E123" s="12">
        <f t="shared" si="40"/>
        <v>26862.729434999997</v>
      </c>
      <c r="F123" s="13">
        <f t="shared" si="41"/>
        <v>30900</v>
      </c>
      <c r="G123" s="13">
        <v>680</v>
      </c>
      <c r="H123" s="21" t="s">
        <v>9</v>
      </c>
      <c r="I123" s="35" t="s">
        <v>118</v>
      </c>
    </row>
    <row r="124" spans="1:9" ht="18" x14ac:dyDescent="0.3">
      <c r="A124" s="37" t="s">
        <v>192</v>
      </c>
      <c r="B124" s="15" t="s">
        <v>14</v>
      </c>
      <c r="C124" s="10" t="s">
        <v>193</v>
      </c>
      <c r="D124" s="11">
        <v>40698</v>
      </c>
      <c r="E124" s="12">
        <f t="shared" si="40"/>
        <v>27377.341109999998</v>
      </c>
      <c r="F124" s="13">
        <f t="shared" si="41"/>
        <v>31490</v>
      </c>
      <c r="G124" s="13">
        <v>680</v>
      </c>
      <c r="H124" s="21" t="s">
        <v>9</v>
      </c>
      <c r="I124" s="35" t="s">
        <v>118</v>
      </c>
    </row>
    <row r="125" spans="1:9" ht="18" x14ac:dyDescent="0.3">
      <c r="A125" s="37" t="s">
        <v>194</v>
      </c>
      <c r="B125" s="9" t="s">
        <v>1187</v>
      </c>
      <c r="C125" s="10" t="s">
        <v>1128</v>
      </c>
      <c r="D125" s="11">
        <v>45754</v>
      </c>
      <c r="E125" s="12">
        <f t="shared" si="40"/>
        <v>30778.487029999997</v>
      </c>
      <c r="F125" s="13">
        <f t="shared" si="41"/>
        <v>35400</v>
      </c>
      <c r="G125" s="13">
        <v>680</v>
      </c>
      <c r="H125" s="21" t="s">
        <v>9</v>
      </c>
      <c r="I125" s="35" t="s">
        <v>118</v>
      </c>
    </row>
    <row r="126" spans="1:9" ht="18" x14ac:dyDescent="0.3">
      <c r="A126" s="37" t="s">
        <v>195</v>
      </c>
      <c r="B126" s="15" t="s">
        <v>14</v>
      </c>
      <c r="C126" s="10" t="s">
        <v>196</v>
      </c>
      <c r="D126" s="11">
        <v>45524</v>
      </c>
      <c r="E126" s="12">
        <f t="shared" si="40"/>
        <v>30623.767179999995</v>
      </c>
      <c r="F126" s="13">
        <f t="shared" si="41"/>
        <v>35220</v>
      </c>
      <c r="G126" s="13">
        <v>680</v>
      </c>
      <c r="H126" s="21" t="s">
        <v>9</v>
      </c>
      <c r="I126" s="35" t="s">
        <v>118</v>
      </c>
    </row>
    <row r="127" spans="1:9" ht="18" x14ac:dyDescent="0.3">
      <c r="A127" s="37" t="s">
        <v>197</v>
      </c>
      <c r="B127" s="9" t="s">
        <v>1187</v>
      </c>
      <c r="C127" s="10" t="s">
        <v>1129</v>
      </c>
      <c r="D127" s="11">
        <v>49566</v>
      </c>
      <c r="E127" s="12">
        <f t="shared" si="40"/>
        <v>33342.800369999997</v>
      </c>
      <c r="F127" s="13">
        <f t="shared" si="41"/>
        <v>38350</v>
      </c>
      <c r="G127" s="13">
        <v>680</v>
      </c>
      <c r="H127" s="21" t="s">
        <v>9</v>
      </c>
      <c r="I127" s="35" t="s">
        <v>118</v>
      </c>
    </row>
    <row r="128" spans="1:9" ht="18" x14ac:dyDescent="0.3">
      <c r="A128" s="37" t="s">
        <v>198</v>
      </c>
      <c r="B128" s="15" t="s">
        <v>14</v>
      </c>
      <c r="C128" s="10" t="s">
        <v>199</v>
      </c>
      <c r="D128" s="11">
        <v>49085</v>
      </c>
      <c r="E128" s="12">
        <f t="shared" si="40"/>
        <v>33019.234074999993</v>
      </c>
      <c r="F128" s="13">
        <f t="shared" si="41"/>
        <v>37980</v>
      </c>
      <c r="G128" s="13">
        <v>680</v>
      </c>
      <c r="H128" s="21" t="s">
        <v>9</v>
      </c>
      <c r="I128" s="35" t="s">
        <v>118</v>
      </c>
    </row>
    <row r="129" spans="1:9" ht="18" x14ac:dyDescent="0.3">
      <c r="A129" s="37" t="s">
        <v>200</v>
      </c>
      <c r="B129" s="9" t="s">
        <v>1187</v>
      </c>
      <c r="C129" s="10" t="s">
        <v>1130</v>
      </c>
      <c r="D129" s="11">
        <v>33009</v>
      </c>
      <c r="E129" s="12">
        <f t="shared" ref="E129:E136" si="42">D129*0.73*0.95*0.97</f>
        <v>22204.989255</v>
      </c>
      <c r="F129" s="13">
        <f t="shared" ref="F129:F136" si="43">ROUNDUP((E129*1.15),-1)</f>
        <v>25540</v>
      </c>
      <c r="G129" s="13">
        <v>680</v>
      </c>
      <c r="H129" s="21" t="s">
        <v>9</v>
      </c>
      <c r="I129" s="35" t="s">
        <v>118</v>
      </c>
    </row>
    <row r="130" spans="1:9" ht="18" x14ac:dyDescent="0.3">
      <c r="A130" s="37" t="s">
        <v>201</v>
      </c>
      <c r="B130" s="15" t="s">
        <v>14</v>
      </c>
      <c r="C130" s="10" t="s">
        <v>202</v>
      </c>
      <c r="D130" s="11">
        <v>33523</v>
      </c>
      <c r="E130" s="12">
        <f t="shared" si="42"/>
        <v>22550.754484999998</v>
      </c>
      <c r="F130" s="13">
        <f t="shared" si="43"/>
        <v>25940</v>
      </c>
      <c r="G130" s="13">
        <v>680</v>
      </c>
      <c r="H130" s="21" t="s">
        <v>9</v>
      </c>
      <c r="I130" s="35" t="s">
        <v>118</v>
      </c>
    </row>
    <row r="131" spans="1:9" ht="18" x14ac:dyDescent="0.3">
      <c r="A131" s="37" t="s">
        <v>203</v>
      </c>
      <c r="B131" s="9" t="s">
        <v>1187</v>
      </c>
      <c r="C131" s="10" t="s">
        <v>1131</v>
      </c>
      <c r="D131" s="11">
        <v>36115</v>
      </c>
      <c r="E131" s="12">
        <f t="shared" si="42"/>
        <v>24294.379924999997</v>
      </c>
      <c r="F131" s="13">
        <f t="shared" si="43"/>
        <v>27940</v>
      </c>
      <c r="G131" s="13">
        <v>680</v>
      </c>
      <c r="H131" s="21" t="s">
        <v>9</v>
      </c>
      <c r="I131" s="35" t="s">
        <v>118</v>
      </c>
    </row>
    <row r="132" spans="1:9" ht="18" x14ac:dyDescent="0.3">
      <c r="A132" s="37" t="s">
        <v>204</v>
      </c>
      <c r="B132" s="15" t="s">
        <v>14</v>
      </c>
      <c r="C132" s="10" t="s">
        <v>205</v>
      </c>
      <c r="D132" s="11">
        <v>35933</v>
      </c>
      <c r="E132" s="12">
        <f t="shared" si="42"/>
        <v>24171.949434999999</v>
      </c>
      <c r="F132" s="13">
        <f t="shared" si="43"/>
        <v>27800</v>
      </c>
      <c r="G132" s="13">
        <v>680</v>
      </c>
      <c r="H132" s="21" t="s">
        <v>9</v>
      </c>
      <c r="I132" s="35" t="s">
        <v>118</v>
      </c>
    </row>
    <row r="133" spans="1:9" ht="18" x14ac:dyDescent="0.3">
      <c r="A133" s="37" t="s">
        <v>206</v>
      </c>
      <c r="B133" s="9" t="s">
        <v>1187</v>
      </c>
      <c r="C133" s="10" t="s">
        <v>1132</v>
      </c>
      <c r="D133" s="11">
        <v>39199</v>
      </c>
      <c r="E133" s="12">
        <f t="shared" si="42"/>
        <v>26368.971304999999</v>
      </c>
      <c r="F133" s="13">
        <f t="shared" si="43"/>
        <v>30330</v>
      </c>
      <c r="G133" s="13">
        <v>680</v>
      </c>
      <c r="H133" s="21" t="s">
        <v>9</v>
      </c>
      <c r="I133" s="35" t="s">
        <v>118</v>
      </c>
    </row>
    <row r="134" spans="1:9" ht="18" x14ac:dyDescent="0.3">
      <c r="A134" s="37" t="s">
        <v>207</v>
      </c>
      <c r="B134" s="15" t="s">
        <v>14</v>
      </c>
      <c r="C134" s="10" t="s">
        <v>208</v>
      </c>
      <c r="D134" s="11">
        <v>38787</v>
      </c>
      <c r="E134" s="12">
        <f t="shared" si="42"/>
        <v>26091.820964999999</v>
      </c>
      <c r="F134" s="13">
        <f t="shared" si="43"/>
        <v>30010</v>
      </c>
      <c r="G134" s="13">
        <v>680</v>
      </c>
      <c r="H134" s="21" t="s">
        <v>9</v>
      </c>
      <c r="I134" s="35" t="s">
        <v>118</v>
      </c>
    </row>
    <row r="135" spans="1:9" ht="18" x14ac:dyDescent="0.3">
      <c r="A135" s="37" t="s">
        <v>209</v>
      </c>
      <c r="B135" s="9" t="s">
        <v>1187</v>
      </c>
      <c r="C135" s="10" t="s">
        <v>1133</v>
      </c>
      <c r="D135" s="11">
        <v>43162</v>
      </c>
      <c r="E135" s="12">
        <f t="shared" si="42"/>
        <v>29034.861589999997</v>
      </c>
      <c r="F135" s="13">
        <f t="shared" si="43"/>
        <v>33400</v>
      </c>
      <c r="G135" s="13">
        <v>680</v>
      </c>
      <c r="H135" s="21" t="s">
        <v>9</v>
      </c>
      <c r="I135" s="35" t="s">
        <v>118</v>
      </c>
    </row>
    <row r="136" spans="1:9" ht="18" x14ac:dyDescent="0.3">
      <c r="A136" s="37" t="s">
        <v>210</v>
      </c>
      <c r="B136" s="15" t="s">
        <v>14</v>
      </c>
      <c r="C136" s="10" t="s">
        <v>211</v>
      </c>
      <c r="D136" s="11">
        <v>42107</v>
      </c>
      <c r="E136" s="12">
        <f t="shared" si="42"/>
        <v>28325.168364999998</v>
      </c>
      <c r="F136" s="13">
        <f t="shared" si="43"/>
        <v>32580</v>
      </c>
      <c r="G136" s="13">
        <v>680</v>
      </c>
      <c r="H136" s="21" t="s">
        <v>9</v>
      </c>
      <c r="I136" s="35" t="s">
        <v>118</v>
      </c>
    </row>
    <row r="137" spans="1:9" ht="18" x14ac:dyDescent="0.3">
      <c r="A137" s="37" t="s">
        <v>212</v>
      </c>
      <c r="B137" s="9" t="s">
        <v>1187</v>
      </c>
      <c r="C137" s="10" t="s">
        <v>1134</v>
      </c>
      <c r="D137" s="11">
        <v>34257</v>
      </c>
      <c r="E137" s="12">
        <f t="shared" ref="E137:E144" si="44">D137*0.73*0.95*0.97</f>
        <v>23044.512614999996</v>
      </c>
      <c r="F137" s="13">
        <f t="shared" ref="F137:F144" si="45">ROUNDUP((E137*1.15),-1)</f>
        <v>26510</v>
      </c>
      <c r="G137" s="13">
        <v>680</v>
      </c>
      <c r="H137" s="21" t="s">
        <v>9</v>
      </c>
      <c r="I137" s="35" t="s">
        <v>118</v>
      </c>
    </row>
    <row r="138" spans="1:9" ht="18" x14ac:dyDescent="0.3">
      <c r="A138" s="37" t="s">
        <v>213</v>
      </c>
      <c r="B138" s="15" t="s">
        <v>14</v>
      </c>
      <c r="C138" s="10" t="s">
        <v>214</v>
      </c>
      <c r="D138" s="11">
        <v>34610</v>
      </c>
      <c r="E138" s="12">
        <f t="shared" si="44"/>
        <v>23281.97395</v>
      </c>
      <c r="F138" s="13">
        <f t="shared" si="45"/>
        <v>26780</v>
      </c>
      <c r="G138" s="13">
        <v>680</v>
      </c>
      <c r="H138" s="21" t="s">
        <v>9</v>
      </c>
      <c r="I138" s="35" t="s">
        <v>118</v>
      </c>
    </row>
    <row r="139" spans="1:9" ht="18" x14ac:dyDescent="0.3">
      <c r="A139" s="37" t="s">
        <v>215</v>
      </c>
      <c r="B139" s="9" t="s">
        <v>1187</v>
      </c>
      <c r="C139" s="10" t="s">
        <v>1135</v>
      </c>
      <c r="D139" s="11">
        <v>37866</v>
      </c>
      <c r="E139" s="12">
        <f t="shared" si="44"/>
        <v>25472.26887</v>
      </c>
      <c r="F139" s="13">
        <f t="shared" si="45"/>
        <v>29300</v>
      </c>
      <c r="G139" s="13">
        <v>680</v>
      </c>
      <c r="H139" s="21" t="s">
        <v>9</v>
      </c>
      <c r="I139" s="35" t="s">
        <v>118</v>
      </c>
    </row>
    <row r="140" spans="1:9" ht="18" x14ac:dyDescent="0.3">
      <c r="A140" s="37" t="s">
        <v>216</v>
      </c>
      <c r="B140" s="15" t="s">
        <v>14</v>
      </c>
      <c r="C140" s="10" t="s">
        <v>217</v>
      </c>
      <c r="D140" s="11">
        <v>38423</v>
      </c>
      <c r="E140" s="12">
        <f t="shared" si="44"/>
        <v>25846.959985000001</v>
      </c>
      <c r="F140" s="13">
        <f t="shared" si="45"/>
        <v>29730</v>
      </c>
      <c r="G140" s="13">
        <v>680</v>
      </c>
      <c r="H140" s="21" t="s">
        <v>9</v>
      </c>
      <c r="I140" s="35" t="s">
        <v>118</v>
      </c>
    </row>
    <row r="141" spans="1:9" ht="18" x14ac:dyDescent="0.3">
      <c r="A141" s="37" t="s">
        <v>218</v>
      </c>
      <c r="B141" s="9" t="s">
        <v>1187</v>
      </c>
      <c r="C141" s="10" t="s">
        <v>1136</v>
      </c>
      <c r="D141" s="11">
        <v>41090</v>
      </c>
      <c r="E141" s="12">
        <f t="shared" si="44"/>
        <v>27641.037550000001</v>
      </c>
      <c r="F141" s="13">
        <f t="shared" si="45"/>
        <v>31790</v>
      </c>
      <c r="G141" s="13">
        <v>680</v>
      </c>
      <c r="H141" s="21" t="s">
        <v>9</v>
      </c>
      <c r="I141" s="35" t="s">
        <v>118</v>
      </c>
    </row>
    <row r="142" spans="1:9" ht="18" x14ac:dyDescent="0.3">
      <c r="A142" s="37" t="s">
        <v>219</v>
      </c>
      <c r="B142" s="15" t="s">
        <v>14</v>
      </c>
      <c r="C142" s="10" t="s">
        <v>220</v>
      </c>
      <c r="D142" s="11">
        <v>41170</v>
      </c>
      <c r="E142" s="12">
        <f t="shared" si="44"/>
        <v>27694.853149999995</v>
      </c>
      <c r="F142" s="13">
        <f t="shared" si="45"/>
        <v>31850</v>
      </c>
      <c r="G142" s="13">
        <v>680</v>
      </c>
      <c r="H142" s="21" t="s">
        <v>9</v>
      </c>
      <c r="I142" s="35" t="s">
        <v>118</v>
      </c>
    </row>
    <row r="143" spans="1:9" ht="18" x14ac:dyDescent="0.3">
      <c r="A143" s="37" t="s">
        <v>221</v>
      </c>
      <c r="B143" s="9" t="s">
        <v>1187</v>
      </c>
      <c r="C143" s="10" t="s">
        <v>1137</v>
      </c>
      <c r="D143" s="11">
        <v>44913</v>
      </c>
      <c r="E143" s="12">
        <f t="shared" si="44"/>
        <v>30212.750534999996</v>
      </c>
      <c r="F143" s="13">
        <f t="shared" si="45"/>
        <v>34750</v>
      </c>
      <c r="G143" s="13">
        <v>680</v>
      </c>
      <c r="H143" s="21" t="s">
        <v>9</v>
      </c>
      <c r="I143" s="35" t="s">
        <v>118</v>
      </c>
    </row>
    <row r="144" spans="1:9" ht="18" x14ac:dyDescent="0.3">
      <c r="A144" s="37" t="s">
        <v>222</v>
      </c>
      <c r="B144" s="15" t="s">
        <v>14</v>
      </c>
      <c r="C144" s="10" t="s">
        <v>223</v>
      </c>
      <c r="D144" s="11">
        <v>44982</v>
      </c>
      <c r="E144" s="12">
        <f t="shared" si="44"/>
        <v>30259.16649</v>
      </c>
      <c r="F144" s="13">
        <f t="shared" si="45"/>
        <v>34800</v>
      </c>
      <c r="G144" s="13">
        <v>680</v>
      </c>
      <c r="H144" s="21" t="s">
        <v>9</v>
      </c>
      <c r="I144" s="35" t="s">
        <v>118</v>
      </c>
    </row>
    <row r="145" spans="1:9" ht="18" x14ac:dyDescent="0.3">
      <c r="A145" s="37" t="s">
        <v>224</v>
      </c>
      <c r="B145" s="9" t="s">
        <v>1187</v>
      </c>
      <c r="C145" s="10" t="s">
        <v>1138</v>
      </c>
      <c r="D145" s="11">
        <v>36463</v>
      </c>
      <c r="E145" s="12">
        <f t="shared" ref="E145:E152" si="46">D145*0.73*0.95*0.97</f>
        <v>24528.477784999999</v>
      </c>
      <c r="F145" s="13">
        <f t="shared" ref="F145:F152" si="47">ROUNDUP((E145*1.15),-1)</f>
        <v>28210</v>
      </c>
      <c r="G145" s="13">
        <v>680</v>
      </c>
      <c r="H145" s="21" t="s">
        <v>9</v>
      </c>
      <c r="I145" s="35" t="s">
        <v>118</v>
      </c>
    </row>
    <row r="146" spans="1:9" ht="18" x14ac:dyDescent="0.3">
      <c r="A146" s="37" t="s">
        <v>225</v>
      </c>
      <c r="B146" s="15" t="s">
        <v>14</v>
      </c>
      <c r="C146" s="10" t="s">
        <v>226</v>
      </c>
      <c r="D146" s="11">
        <v>36800</v>
      </c>
      <c r="E146" s="12">
        <f t="shared" si="46"/>
        <v>24755.175999999999</v>
      </c>
      <c r="F146" s="13">
        <f t="shared" si="47"/>
        <v>28470</v>
      </c>
      <c r="G146" s="13">
        <v>680</v>
      </c>
      <c r="H146" s="21" t="s">
        <v>9</v>
      </c>
      <c r="I146" s="35" t="s">
        <v>118</v>
      </c>
    </row>
    <row r="147" spans="1:9" ht="18" x14ac:dyDescent="0.3">
      <c r="A147" s="37" t="s">
        <v>227</v>
      </c>
      <c r="B147" s="9" t="s">
        <v>1187</v>
      </c>
      <c r="C147" s="10" t="s">
        <v>1139</v>
      </c>
      <c r="D147" s="11">
        <v>40581</v>
      </c>
      <c r="E147" s="12">
        <f t="shared" si="46"/>
        <v>27298.635794999998</v>
      </c>
      <c r="F147" s="13">
        <f t="shared" si="47"/>
        <v>31400</v>
      </c>
      <c r="G147" s="13">
        <v>680</v>
      </c>
      <c r="H147" s="21" t="s">
        <v>9</v>
      </c>
      <c r="I147" s="35" t="s">
        <v>118</v>
      </c>
    </row>
    <row r="148" spans="1:9" ht="18" x14ac:dyDescent="0.3">
      <c r="A148" s="37" t="s">
        <v>228</v>
      </c>
      <c r="B148" s="15" t="s">
        <v>14</v>
      </c>
      <c r="C148" s="10" t="s">
        <v>229</v>
      </c>
      <c r="D148" s="11">
        <v>41347</v>
      </c>
      <c r="E148" s="12">
        <f t="shared" si="46"/>
        <v>27813.920164999996</v>
      </c>
      <c r="F148" s="13">
        <f t="shared" si="47"/>
        <v>31990</v>
      </c>
      <c r="G148" s="13">
        <v>680</v>
      </c>
      <c r="H148" s="21" t="s">
        <v>9</v>
      </c>
      <c r="I148" s="35" t="s">
        <v>118</v>
      </c>
    </row>
    <row r="149" spans="1:9" ht="18" x14ac:dyDescent="0.3">
      <c r="A149" s="37" t="s">
        <v>230</v>
      </c>
      <c r="B149" s="9" t="s">
        <v>1187</v>
      </c>
      <c r="C149" s="10" t="s">
        <v>1140</v>
      </c>
      <c r="D149" s="11">
        <v>46268</v>
      </c>
      <c r="E149" s="12">
        <f t="shared" si="46"/>
        <v>31124.252259999997</v>
      </c>
      <c r="F149" s="13">
        <f t="shared" si="47"/>
        <v>35800</v>
      </c>
      <c r="G149" s="13">
        <v>680</v>
      </c>
      <c r="H149" s="21" t="s">
        <v>9</v>
      </c>
      <c r="I149" s="35" t="s">
        <v>118</v>
      </c>
    </row>
    <row r="150" spans="1:9" ht="18" x14ac:dyDescent="0.3">
      <c r="A150" s="37" t="s">
        <v>231</v>
      </c>
      <c r="B150" s="15" t="s">
        <v>14</v>
      </c>
      <c r="C150" s="10" t="s">
        <v>232</v>
      </c>
      <c r="D150" s="11">
        <v>46241</v>
      </c>
      <c r="E150" s="12">
        <f t="shared" si="46"/>
        <v>31106.089495</v>
      </c>
      <c r="F150" s="13">
        <f t="shared" si="47"/>
        <v>35780</v>
      </c>
      <c r="G150" s="13">
        <v>680</v>
      </c>
      <c r="H150" s="21" t="s">
        <v>9</v>
      </c>
      <c r="I150" s="35" t="s">
        <v>118</v>
      </c>
    </row>
    <row r="151" spans="1:9" ht="18" x14ac:dyDescent="0.3">
      <c r="A151" s="37" t="s">
        <v>233</v>
      </c>
      <c r="B151" s="9" t="s">
        <v>1187</v>
      </c>
      <c r="C151" s="10" t="s">
        <v>1141</v>
      </c>
      <c r="D151" s="11">
        <v>50080</v>
      </c>
      <c r="E151" s="12">
        <f t="shared" si="46"/>
        <v>33688.565600000002</v>
      </c>
      <c r="F151" s="13">
        <f t="shared" si="47"/>
        <v>38750</v>
      </c>
      <c r="G151" s="13">
        <v>680</v>
      </c>
      <c r="H151" s="21" t="s">
        <v>9</v>
      </c>
      <c r="I151" s="35" t="s">
        <v>118</v>
      </c>
    </row>
    <row r="152" spans="1:9" ht="18" x14ac:dyDescent="0.3">
      <c r="A152" s="37" t="s">
        <v>234</v>
      </c>
      <c r="B152" s="15" t="s">
        <v>14</v>
      </c>
      <c r="C152" s="10" t="s">
        <v>235</v>
      </c>
      <c r="D152" s="11">
        <v>49802</v>
      </c>
      <c r="E152" s="12">
        <f t="shared" si="46"/>
        <v>33501.556389999998</v>
      </c>
      <c r="F152" s="13">
        <f t="shared" si="47"/>
        <v>38530</v>
      </c>
      <c r="G152" s="13">
        <v>680</v>
      </c>
      <c r="H152" s="21" t="s">
        <v>9</v>
      </c>
      <c r="I152" s="35" t="s">
        <v>118</v>
      </c>
    </row>
    <row r="153" spans="1:9" ht="18" x14ac:dyDescent="0.3">
      <c r="A153" s="98" t="s">
        <v>236</v>
      </c>
      <c r="B153" s="9" t="s">
        <v>1187</v>
      </c>
      <c r="C153" s="34" t="s">
        <v>1142</v>
      </c>
      <c r="D153" s="11">
        <v>20661</v>
      </c>
      <c r="E153" s="12">
        <f t="shared" ref="E153" si="48">D153*0.73*0.95*0.97</f>
        <v>13898.551394999999</v>
      </c>
      <c r="F153" s="13">
        <f t="shared" ref="F153" si="49">ROUNDUP((E153*1.15),-1)</f>
        <v>15990</v>
      </c>
      <c r="G153" s="13">
        <v>470</v>
      </c>
      <c r="H153" s="21" t="s">
        <v>9</v>
      </c>
      <c r="I153" s="35" t="s">
        <v>118</v>
      </c>
    </row>
    <row r="154" spans="1:9" ht="18" x14ac:dyDescent="0.3">
      <c r="A154" s="97" t="s">
        <v>1180</v>
      </c>
      <c r="B154" s="15" t="s">
        <v>14</v>
      </c>
      <c r="C154" s="34" t="s">
        <v>1183</v>
      </c>
      <c r="D154" s="11">
        <v>20395</v>
      </c>
      <c r="E154" s="12">
        <f t="shared" ref="E154:E159" si="50">D154*0.73*0.95*0.97</f>
        <v>13719.614524999999</v>
      </c>
      <c r="F154" s="13">
        <f t="shared" ref="F154:F159" si="51">ROUNDUP((E154*1.15),-1)</f>
        <v>15780</v>
      </c>
      <c r="G154" s="13">
        <v>470</v>
      </c>
      <c r="H154" s="21" t="s">
        <v>9</v>
      </c>
      <c r="I154" s="35" t="s">
        <v>118</v>
      </c>
    </row>
    <row r="155" spans="1:9" ht="18" x14ac:dyDescent="0.3">
      <c r="A155" s="98" t="s">
        <v>237</v>
      </c>
      <c r="B155" s="9" t="s">
        <v>1187</v>
      </c>
      <c r="C155" s="34" t="s">
        <v>1143</v>
      </c>
      <c r="D155" s="11">
        <v>22653</v>
      </c>
      <c r="E155" s="12">
        <f t="shared" si="50"/>
        <v>15238.559834999998</v>
      </c>
      <c r="F155" s="13">
        <f t="shared" si="51"/>
        <v>17530</v>
      </c>
      <c r="G155" s="13">
        <v>470</v>
      </c>
      <c r="H155" s="21" t="s">
        <v>9</v>
      </c>
      <c r="I155" s="35" t="s">
        <v>118</v>
      </c>
    </row>
    <row r="156" spans="1:9" ht="18" x14ac:dyDescent="0.3">
      <c r="A156" s="97" t="s">
        <v>1181</v>
      </c>
      <c r="B156" s="15" t="s">
        <v>14</v>
      </c>
      <c r="C156" s="34" t="s">
        <v>1184</v>
      </c>
      <c r="D156" s="11">
        <v>22384</v>
      </c>
      <c r="E156" s="12">
        <f t="shared" si="50"/>
        <v>15057.604879999997</v>
      </c>
      <c r="F156" s="13">
        <f t="shared" si="51"/>
        <v>17320</v>
      </c>
      <c r="G156" s="13">
        <v>470</v>
      </c>
      <c r="H156" s="21" t="s">
        <v>9</v>
      </c>
      <c r="I156" s="35" t="s">
        <v>118</v>
      </c>
    </row>
    <row r="157" spans="1:9" ht="18" x14ac:dyDescent="0.3">
      <c r="A157" s="98" t="s">
        <v>238</v>
      </c>
      <c r="B157" s="9" t="s">
        <v>1187</v>
      </c>
      <c r="C157" s="34" t="s">
        <v>1144</v>
      </c>
      <c r="D157" s="11">
        <v>28061</v>
      </c>
      <c r="E157" s="12">
        <f t="shared" si="50"/>
        <v>18876.494394999998</v>
      </c>
      <c r="F157" s="13">
        <f t="shared" si="51"/>
        <v>21710</v>
      </c>
      <c r="G157" s="13">
        <v>470</v>
      </c>
      <c r="H157" s="21" t="s">
        <v>9</v>
      </c>
      <c r="I157" s="35" t="s">
        <v>118</v>
      </c>
    </row>
    <row r="158" spans="1:9" ht="18" x14ac:dyDescent="0.3">
      <c r="A158" s="97" t="s">
        <v>1182</v>
      </c>
      <c r="B158" s="15" t="s">
        <v>14</v>
      </c>
      <c r="C158" s="34" t="s">
        <v>1185</v>
      </c>
      <c r="D158" s="11">
        <v>27792</v>
      </c>
      <c r="E158" s="12">
        <f t="shared" si="50"/>
        <v>18695.53944</v>
      </c>
      <c r="F158" s="13">
        <f t="shared" si="51"/>
        <v>21500</v>
      </c>
      <c r="G158" s="13">
        <v>470</v>
      </c>
      <c r="H158" s="21" t="s">
        <v>9</v>
      </c>
      <c r="I158" s="35" t="s">
        <v>118</v>
      </c>
    </row>
    <row r="159" spans="1:9" ht="18" x14ac:dyDescent="0.3">
      <c r="A159" s="8" t="s">
        <v>239</v>
      </c>
      <c r="B159" s="9" t="s">
        <v>1187</v>
      </c>
      <c r="C159" s="10" t="s">
        <v>1145</v>
      </c>
      <c r="D159" s="11">
        <v>22653</v>
      </c>
      <c r="E159" s="12">
        <f t="shared" si="50"/>
        <v>15238.559834999998</v>
      </c>
      <c r="F159" s="13">
        <f t="shared" si="51"/>
        <v>17530</v>
      </c>
      <c r="G159" s="13">
        <v>470</v>
      </c>
      <c r="H159" s="21" t="s">
        <v>9</v>
      </c>
      <c r="I159" s="35" t="s">
        <v>118</v>
      </c>
    </row>
    <row r="160" spans="1:9" ht="18" x14ac:dyDescent="0.3">
      <c r="A160" s="8" t="s">
        <v>240</v>
      </c>
      <c r="B160" s="15" t="s">
        <v>14</v>
      </c>
      <c r="C160" s="10" t="s">
        <v>241</v>
      </c>
      <c r="D160" s="11">
        <v>22684</v>
      </c>
      <c r="E160" s="12">
        <f t="shared" ref="E160:E164" si="52">D160*0.73*0.95*0.97</f>
        <v>15259.413379999998</v>
      </c>
      <c r="F160" s="13">
        <f t="shared" ref="F160:F164" si="53">ROUNDUP((E160*1.15),-1)</f>
        <v>17550</v>
      </c>
      <c r="G160" s="13">
        <v>470</v>
      </c>
      <c r="H160" s="21" t="s">
        <v>9</v>
      </c>
      <c r="I160" s="35" t="s">
        <v>118</v>
      </c>
    </row>
    <row r="161" spans="1:9" ht="18" x14ac:dyDescent="0.3">
      <c r="A161" s="8" t="s">
        <v>242</v>
      </c>
      <c r="B161" s="9" t="s">
        <v>1187</v>
      </c>
      <c r="C161" s="10" t="s">
        <v>1146</v>
      </c>
      <c r="D161" s="11">
        <v>25523</v>
      </c>
      <c r="E161" s="12">
        <f t="shared" si="52"/>
        <v>17169.194485</v>
      </c>
      <c r="F161" s="13">
        <f t="shared" si="53"/>
        <v>19750</v>
      </c>
      <c r="G161" s="13">
        <v>470</v>
      </c>
      <c r="H161" s="21" t="s">
        <v>9</v>
      </c>
      <c r="I161" s="35" t="s">
        <v>118</v>
      </c>
    </row>
    <row r="162" spans="1:9" ht="18" x14ac:dyDescent="0.3">
      <c r="A162" s="8" t="s">
        <v>243</v>
      </c>
      <c r="B162" s="15" t="s">
        <v>14</v>
      </c>
      <c r="C162" s="10" t="s">
        <v>244</v>
      </c>
      <c r="D162" s="11">
        <v>25630</v>
      </c>
      <c r="E162" s="12">
        <f t="shared" si="52"/>
        <v>17241.172849999999</v>
      </c>
      <c r="F162" s="13">
        <f t="shared" si="53"/>
        <v>19830</v>
      </c>
      <c r="G162" s="13">
        <v>470</v>
      </c>
      <c r="H162" s="21" t="s">
        <v>9</v>
      </c>
      <c r="I162" s="35" t="s">
        <v>118</v>
      </c>
    </row>
    <row r="163" spans="1:9" ht="18" x14ac:dyDescent="0.3">
      <c r="A163" s="8" t="s">
        <v>245</v>
      </c>
      <c r="B163" s="9" t="s">
        <v>1187</v>
      </c>
      <c r="C163" s="10" t="s">
        <v>1147</v>
      </c>
      <c r="D163" s="11">
        <v>29389</v>
      </c>
      <c r="E163" s="12">
        <f t="shared" si="52"/>
        <v>19769.833354999999</v>
      </c>
      <c r="F163" s="13">
        <f t="shared" si="53"/>
        <v>22740</v>
      </c>
      <c r="G163" s="13">
        <v>470</v>
      </c>
      <c r="H163" s="21" t="s">
        <v>9</v>
      </c>
      <c r="I163" s="35" t="s">
        <v>118</v>
      </c>
    </row>
    <row r="164" spans="1:9" ht="18" x14ac:dyDescent="0.3">
      <c r="A164" s="8" t="s">
        <v>246</v>
      </c>
      <c r="B164" s="15" t="s">
        <v>14</v>
      </c>
      <c r="C164" s="10" t="s">
        <v>247</v>
      </c>
      <c r="D164" s="11">
        <v>29710</v>
      </c>
      <c r="E164" s="12">
        <f t="shared" si="52"/>
        <v>19985.76845</v>
      </c>
      <c r="F164" s="13">
        <f t="shared" si="53"/>
        <v>22990</v>
      </c>
      <c r="G164" s="13">
        <v>470</v>
      </c>
      <c r="H164" s="21" t="s">
        <v>9</v>
      </c>
      <c r="I164" s="35" t="s">
        <v>118</v>
      </c>
    </row>
    <row r="165" spans="1:9" ht="18" x14ac:dyDescent="0.3">
      <c r="A165" s="8" t="s">
        <v>248</v>
      </c>
      <c r="B165" s="9" t="s">
        <v>1187</v>
      </c>
      <c r="C165" s="10" t="s">
        <v>1148</v>
      </c>
      <c r="D165" s="11">
        <v>25854</v>
      </c>
      <c r="E165" s="12">
        <f t="shared" ref="E165:E170" si="54">D165*0.73*0.95*0.97</f>
        <v>17391.856529999997</v>
      </c>
      <c r="F165" s="13">
        <f t="shared" ref="F165:F170" si="55">ROUNDUP((E165*1.15),-1)</f>
        <v>20010</v>
      </c>
      <c r="G165" s="13">
        <v>470</v>
      </c>
      <c r="H165" s="21" t="s">
        <v>9</v>
      </c>
      <c r="I165" s="35" t="s">
        <v>118</v>
      </c>
    </row>
    <row r="166" spans="1:9" ht="18" x14ac:dyDescent="0.3">
      <c r="A166" s="8" t="s">
        <v>249</v>
      </c>
      <c r="B166" s="15" t="s">
        <v>14</v>
      </c>
      <c r="C166" s="10" t="s">
        <v>250</v>
      </c>
      <c r="D166" s="11">
        <v>25919</v>
      </c>
      <c r="E166" s="12">
        <f t="shared" si="54"/>
        <v>17435.581705000001</v>
      </c>
      <c r="F166" s="13">
        <f t="shared" si="55"/>
        <v>20060</v>
      </c>
      <c r="G166" s="13">
        <v>470</v>
      </c>
      <c r="H166" s="21" t="s">
        <v>9</v>
      </c>
      <c r="I166" s="35" t="s">
        <v>118</v>
      </c>
    </row>
    <row r="167" spans="1:9" ht="18" x14ac:dyDescent="0.3">
      <c r="A167" s="8" t="s">
        <v>251</v>
      </c>
      <c r="B167" s="9" t="s">
        <v>1187</v>
      </c>
      <c r="C167" s="10" t="s">
        <v>1149</v>
      </c>
      <c r="D167" s="11">
        <v>28725</v>
      </c>
      <c r="E167" s="12">
        <f t="shared" si="54"/>
        <v>19323.163874999998</v>
      </c>
      <c r="F167" s="13">
        <f t="shared" si="55"/>
        <v>22230</v>
      </c>
      <c r="G167" s="13">
        <v>470</v>
      </c>
      <c r="H167" s="21" t="s">
        <v>9</v>
      </c>
      <c r="I167" s="35" t="s">
        <v>118</v>
      </c>
    </row>
    <row r="168" spans="1:9" ht="18" x14ac:dyDescent="0.3">
      <c r="A168" s="8" t="s">
        <v>252</v>
      </c>
      <c r="B168" s="15" t="s">
        <v>14</v>
      </c>
      <c r="C168" s="10" t="s">
        <v>253</v>
      </c>
      <c r="D168" s="11">
        <v>29014</v>
      </c>
      <c r="E168" s="12">
        <f t="shared" si="54"/>
        <v>19517.57273</v>
      </c>
      <c r="F168" s="13">
        <f t="shared" si="55"/>
        <v>22450</v>
      </c>
      <c r="G168" s="13">
        <v>470</v>
      </c>
      <c r="H168" s="21" t="s">
        <v>9</v>
      </c>
      <c r="I168" s="35" t="s">
        <v>118</v>
      </c>
    </row>
    <row r="169" spans="1:9" ht="18" x14ac:dyDescent="0.3">
      <c r="A169" s="8" t="s">
        <v>254</v>
      </c>
      <c r="B169" s="9" t="s">
        <v>1187</v>
      </c>
      <c r="C169" s="10" t="s">
        <v>1150</v>
      </c>
      <c r="D169" s="11">
        <v>32130</v>
      </c>
      <c r="E169" s="12">
        <f t="shared" si="54"/>
        <v>21613.690349999993</v>
      </c>
      <c r="F169" s="13">
        <f t="shared" si="55"/>
        <v>24860</v>
      </c>
      <c r="G169" s="13">
        <v>470</v>
      </c>
      <c r="H169" s="21" t="s">
        <v>9</v>
      </c>
      <c r="I169" s="35" t="s">
        <v>118</v>
      </c>
    </row>
    <row r="170" spans="1:9" ht="18" x14ac:dyDescent="0.3">
      <c r="A170" s="8" t="s">
        <v>255</v>
      </c>
      <c r="B170" s="15" t="s">
        <v>14</v>
      </c>
      <c r="C170" s="10" t="s">
        <v>256</v>
      </c>
      <c r="D170" s="11">
        <v>32249</v>
      </c>
      <c r="E170" s="12">
        <f t="shared" si="54"/>
        <v>21693.741054999999</v>
      </c>
      <c r="F170" s="13">
        <f t="shared" si="55"/>
        <v>24950</v>
      </c>
      <c r="G170" s="13">
        <v>470</v>
      </c>
      <c r="H170" s="21" t="s">
        <v>9</v>
      </c>
      <c r="I170" s="35" t="s">
        <v>118</v>
      </c>
    </row>
    <row r="171" spans="1:9" ht="18" x14ac:dyDescent="0.3">
      <c r="A171" s="8" t="s">
        <v>257</v>
      </c>
      <c r="B171" s="9" t="s">
        <v>1187</v>
      </c>
      <c r="C171" s="10" t="s">
        <v>1151</v>
      </c>
      <c r="D171" s="11">
        <v>29453</v>
      </c>
      <c r="E171" s="12">
        <f t="shared" ref="E171:E178" si="56">D171*0.73*0.95*0.97</f>
        <v>19812.885834999997</v>
      </c>
      <c r="F171" s="13">
        <f t="shared" ref="F171:F178" si="57">ROUNDUP((E171*1.15),-1)</f>
        <v>22790</v>
      </c>
      <c r="G171" s="13">
        <v>680</v>
      </c>
      <c r="H171" s="21" t="s">
        <v>9</v>
      </c>
      <c r="I171" s="35" t="s">
        <v>118</v>
      </c>
    </row>
    <row r="172" spans="1:9" ht="18" x14ac:dyDescent="0.3">
      <c r="A172" s="8" t="s">
        <v>258</v>
      </c>
      <c r="B172" s="15" t="s">
        <v>14</v>
      </c>
      <c r="C172" s="10" t="s">
        <v>259</v>
      </c>
      <c r="D172" s="11">
        <v>28703</v>
      </c>
      <c r="E172" s="12">
        <f t="shared" si="56"/>
        <v>19308.364584999996</v>
      </c>
      <c r="F172" s="13">
        <f t="shared" si="57"/>
        <v>22210</v>
      </c>
      <c r="G172" s="13">
        <v>680</v>
      </c>
      <c r="H172" s="21" t="s">
        <v>9</v>
      </c>
      <c r="I172" s="35" t="s">
        <v>118</v>
      </c>
    </row>
    <row r="173" spans="1:9" ht="18" x14ac:dyDescent="0.3">
      <c r="A173" s="8" t="s">
        <v>260</v>
      </c>
      <c r="B173" s="9" t="s">
        <v>1187</v>
      </c>
      <c r="C173" s="10" t="s">
        <v>1152</v>
      </c>
      <c r="D173" s="11">
        <v>32399</v>
      </c>
      <c r="E173" s="12">
        <f t="shared" si="56"/>
        <v>21794.645304999998</v>
      </c>
      <c r="F173" s="13">
        <f t="shared" si="57"/>
        <v>25070</v>
      </c>
      <c r="G173" s="13">
        <v>680</v>
      </c>
      <c r="H173" s="21" t="s">
        <v>9</v>
      </c>
      <c r="I173" s="35" t="s">
        <v>118</v>
      </c>
    </row>
    <row r="174" spans="1:9" ht="18" x14ac:dyDescent="0.3">
      <c r="A174" s="8" t="s">
        <v>261</v>
      </c>
      <c r="B174" s="15" t="s">
        <v>14</v>
      </c>
      <c r="C174" s="10" t="s">
        <v>262</v>
      </c>
      <c r="D174" s="11">
        <v>33309</v>
      </c>
      <c r="E174" s="12">
        <f t="shared" si="56"/>
        <v>22406.797755</v>
      </c>
      <c r="F174" s="13">
        <f t="shared" si="57"/>
        <v>25770</v>
      </c>
      <c r="G174" s="13">
        <v>680</v>
      </c>
      <c r="H174" s="21" t="s">
        <v>9</v>
      </c>
      <c r="I174" s="35" t="s">
        <v>118</v>
      </c>
    </row>
    <row r="175" spans="1:9" ht="18" x14ac:dyDescent="0.3">
      <c r="A175" s="8" t="s">
        <v>263</v>
      </c>
      <c r="B175" s="9" t="s">
        <v>1187</v>
      </c>
      <c r="C175" s="10" t="s">
        <v>1153</v>
      </c>
      <c r="D175" s="11">
        <v>35462</v>
      </c>
      <c r="E175" s="12">
        <f t="shared" si="56"/>
        <v>23855.110089999998</v>
      </c>
      <c r="F175" s="13">
        <f t="shared" si="57"/>
        <v>27440</v>
      </c>
      <c r="G175" s="13">
        <v>680</v>
      </c>
      <c r="H175" s="21" t="s">
        <v>9</v>
      </c>
      <c r="I175" s="35" t="s">
        <v>118</v>
      </c>
    </row>
    <row r="176" spans="1:9" ht="18" x14ac:dyDescent="0.3">
      <c r="A176" s="8" t="s">
        <v>264</v>
      </c>
      <c r="B176" s="15" t="s">
        <v>14</v>
      </c>
      <c r="C176" s="10" t="s">
        <v>265</v>
      </c>
      <c r="D176" s="11">
        <v>34926</v>
      </c>
      <c r="E176" s="12">
        <f t="shared" si="56"/>
        <v>23494.545569999995</v>
      </c>
      <c r="F176" s="13">
        <f t="shared" si="57"/>
        <v>27020</v>
      </c>
      <c r="G176" s="13">
        <v>680</v>
      </c>
      <c r="H176" s="21" t="s">
        <v>9</v>
      </c>
      <c r="I176" s="35" t="s">
        <v>118</v>
      </c>
    </row>
    <row r="177" spans="1:9" ht="18" x14ac:dyDescent="0.3">
      <c r="A177" s="8" t="s">
        <v>266</v>
      </c>
      <c r="B177" s="9" t="s">
        <v>1187</v>
      </c>
      <c r="C177" s="10" t="s">
        <v>1154</v>
      </c>
      <c r="D177" s="11">
        <v>40013</v>
      </c>
      <c r="E177" s="12">
        <f t="shared" si="56"/>
        <v>26916.545034999996</v>
      </c>
      <c r="F177" s="13">
        <f t="shared" si="57"/>
        <v>30960</v>
      </c>
      <c r="G177" s="13">
        <v>680</v>
      </c>
      <c r="H177" s="21" t="s">
        <v>9</v>
      </c>
      <c r="I177" s="35" t="s">
        <v>118</v>
      </c>
    </row>
    <row r="178" spans="1:9" ht="18" x14ac:dyDescent="0.3">
      <c r="A178" s="8" t="s">
        <v>267</v>
      </c>
      <c r="B178" s="15" t="s">
        <v>14</v>
      </c>
      <c r="C178" s="10" t="s">
        <v>268</v>
      </c>
      <c r="D178" s="11">
        <v>39478</v>
      </c>
      <c r="E178" s="12">
        <f t="shared" si="56"/>
        <v>26556.653209999997</v>
      </c>
      <c r="F178" s="13">
        <f t="shared" si="57"/>
        <v>30550</v>
      </c>
      <c r="G178" s="13">
        <v>680</v>
      </c>
      <c r="H178" s="21" t="s">
        <v>9</v>
      </c>
      <c r="I178" s="35" t="s">
        <v>118</v>
      </c>
    </row>
    <row r="179" spans="1:9" ht="18" x14ac:dyDescent="0.3">
      <c r="A179" s="8" t="s">
        <v>269</v>
      </c>
      <c r="B179" s="9" t="s">
        <v>1187</v>
      </c>
      <c r="C179" s="10" t="s">
        <v>1155</v>
      </c>
      <c r="D179" s="11">
        <v>32158</v>
      </c>
      <c r="E179" s="12">
        <f t="shared" ref="E179:E186" si="58">D179*0.73*0.95*0.97</f>
        <v>21632.525809999999</v>
      </c>
      <c r="F179" s="13">
        <f t="shared" ref="F179:F186" si="59">ROUNDUP((E179*1.15),-1)</f>
        <v>24880</v>
      </c>
      <c r="G179" s="13">
        <v>680</v>
      </c>
      <c r="H179" s="21" t="s">
        <v>9</v>
      </c>
      <c r="I179" s="35" t="s">
        <v>118</v>
      </c>
    </row>
    <row r="180" spans="1:9" ht="18" x14ac:dyDescent="0.3">
      <c r="A180" s="8" t="s">
        <v>270</v>
      </c>
      <c r="B180" s="15" t="s">
        <v>14</v>
      </c>
      <c r="C180" s="10" t="s">
        <v>271</v>
      </c>
      <c r="D180" s="11">
        <v>32511</v>
      </c>
      <c r="E180" s="12">
        <f t="shared" si="58"/>
        <v>21869.987144999999</v>
      </c>
      <c r="F180" s="13">
        <f t="shared" si="59"/>
        <v>25160</v>
      </c>
      <c r="G180" s="13">
        <v>680</v>
      </c>
      <c r="H180" s="21" t="s">
        <v>9</v>
      </c>
      <c r="I180" s="35" t="s">
        <v>118</v>
      </c>
    </row>
    <row r="181" spans="1:9" ht="18" x14ac:dyDescent="0.3">
      <c r="A181" s="8" t="s">
        <v>272</v>
      </c>
      <c r="B181" s="9" t="s">
        <v>1187</v>
      </c>
      <c r="C181" s="10" t="s">
        <v>1156</v>
      </c>
      <c r="D181" s="11">
        <v>35692</v>
      </c>
      <c r="E181" s="12">
        <f t="shared" si="58"/>
        <v>24009.829939999996</v>
      </c>
      <c r="F181" s="13">
        <f t="shared" si="59"/>
        <v>27620</v>
      </c>
      <c r="G181" s="13">
        <v>680</v>
      </c>
      <c r="H181" s="21" t="s">
        <v>9</v>
      </c>
      <c r="I181" s="35" t="s">
        <v>118</v>
      </c>
    </row>
    <row r="182" spans="1:9" ht="18" x14ac:dyDescent="0.3">
      <c r="A182" s="8" t="s">
        <v>273</v>
      </c>
      <c r="B182" s="15" t="s">
        <v>14</v>
      </c>
      <c r="C182" s="10" t="s">
        <v>274</v>
      </c>
      <c r="D182" s="11">
        <v>36131</v>
      </c>
      <c r="E182" s="12">
        <f t="shared" si="58"/>
        <v>24305.143045000001</v>
      </c>
      <c r="F182" s="13">
        <f t="shared" si="59"/>
        <v>27960</v>
      </c>
      <c r="G182" s="13">
        <v>680</v>
      </c>
      <c r="H182" s="21" t="s">
        <v>9</v>
      </c>
      <c r="I182" s="35" t="s">
        <v>118</v>
      </c>
    </row>
    <row r="183" spans="1:9" ht="18" x14ac:dyDescent="0.3">
      <c r="A183" s="8" t="s">
        <v>275</v>
      </c>
      <c r="B183" s="9" t="s">
        <v>1187</v>
      </c>
      <c r="C183" s="10" t="s">
        <v>1157</v>
      </c>
      <c r="D183" s="11">
        <v>38771</v>
      </c>
      <c r="E183" s="12">
        <f t="shared" si="58"/>
        <v>26081.057844999996</v>
      </c>
      <c r="F183" s="13">
        <f t="shared" si="59"/>
        <v>30000</v>
      </c>
      <c r="G183" s="13">
        <v>680</v>
      </c>
      <c r="H183" s="21" t="s">
        <v>9</v>
      </c>
      <c r="I183" s="35" t="s">
        <v>118</v>
      </c>
    </row>
    <row r="184" spans="1:9" ht="18" x14ac:dyDescent="0.3">
      <c r="A184" s="8" t="s">
        <v>276</v>
      </c>
      <c r="B184" s="15" t="s">
        <v>14</v>
      </c>
      <c r="C184" s="10" t="s">
        <v>277</v>
      </c>
      <c r="D184" s="11">
        <v>39125</v>
      </c>
      <c r="E184" s="12">
        <f t="shared" si="58"/>
        <v>26319.191875</v>
      </c>
      <c r="F184" s="13">
        <f t="shared" si="59"/>
        <v>30270</v>
      </c>
      <c r="G184" s="13">
        <v>680</v>
      </c>
      <c r="H184" s="21" t="s">
        <v>9</v>
      </c>
      <c r="I184" s="35" t="s">
        <v>118</v>
      </c>
    </row>
    <row r="185" spans="1:9" ht="18" x14ac:dyDescent="0.3">
      <c r="A185" s="8" t="s">
        <v>278</v>
      </c>
      <c r="B185" s="9" t="s">
        <v>1187</v>
      </c>
      <c r="C185" s="10" t="s">
        <v>1158</v>
      </c>
      <c r="D185" s="11">
        <v>42680</v>
      </c>
      <c r="E185" s="12">
        <f t="shared" si="58"/>
        <v>28710.622599999999</v>
      </c>
      <c r="F185" s="13">
        <f t="shared" si="59"/>
        <v>33020</v>
      </c>
      <c r="G185" s="13">
        <v>680</v>
      </c>
      <c r="H185" s="21" t="s">
        <v>9</v>
      </c>
      <c r="I185" s="35" t="s">
        <v>118</v>
      </c>
    </row>
    <row r="186" spans="1:9" ht="18" x14ac:dyDescent="0.3">
      <c r="A186" s="8" t="s">
        <v>279</v>
      </c>
      <c r="B186" s="15" t="s">
        <v>14</v>
      </c>
      <c r="C186" s="10" t="s">
        <v>280</v>
      </c>
      <c r="D186" s="11">
        <v>43033</v>
      </c>
      <c r="E186" s="12">
        <f t="shared" si="58"/>
        <v>28948.083934999999</v>
      </c>
      <c r="F186" s="13">
        <f t="shared" si="59"/>
        <v>33300</v>
      </c>
      <c r="G186" s="13">
        <v>680</v>
      </c>
      <c r="H186" s="21" t="s">
        <v>9</v>
      </c>
      <c r="I186" s="35" t="s">
        <v>118</v>
      </c>
    </row>
    <row r="187" spans="1:9" ht="18" x14ac:dyDescent="0.3">
      <c r="A187" s="21" t="s">
        <v>281</v>
      </c>
      <c r="B187" s="22"/>
      <c r="C187" s="18" t="s">
        <v>282</v>
      </c>
      <c r="D187" s="11">
        <v>2903</v>
      </c>
      <c r="E187" s="11">
        <f t="shared" ref="E187:E191" si="60">D187*0.73*0.95</f>
        <v>2013.2304999999999</v>
      </c>
      <c r="F187" s="13">
        <f t="shared" ref="F187:F191" si="61">ROUNDUP((E187*1.18),-1)</f>
        <v>2380</v>
      </c>
      <c r="G187" s="13"/>
      <c r="H187" s="21" t="s">
        <v>9</v>
      </c>
      <c r="I187" s="23" t="s">
        <v>61</v>
      </c>
    </row>
    <row r="188" spans="1:9" ht="18" x14ac:dyDescent="0.3">
      <c r="A188" s="21" t="s">
        <v>283</v>
      </c>
      <c r="B188" s="22"/>
      <c r="C188" s="18" t="s">
        <v>284</v>
      </c>
      <c r="D188" s="11">
        <v>3182</v>
      </c>
      <c r="E188" s="11">
        <f t="shared" si="60"/>
        <v>2206.7170000000001</v>
      </c>
      <c r="F188" s="13">
        <f t="shared" si="61"/>
        <v>2610</v>
      </c>
      <c r="G188" s="13"/>
      <c r="H188" s="21" t="s">
        <v>9</v>
      </c>
      <c r="I188" s="23" t="s">
        <v>61</v>
      </c>
    </row>
    <row r="189" spans="1:9" ht="18" x14ac:dyDescent="0.3">
      <c r="A189" s="21" t="s">
        <v>285</v>
      </c>
      <c r="B189" s="22"/>
      <c r="C189" s="18" t="s">
        <v>286</v>
      </c>
      <c r="D189" s="11">
        <v>2202</v>
      </c>
      <c r="E189" s="11">
        <f t="shared" si="60"/>
        <v>1527.087</v>
      </c>
      <c r="F189" s="13">
        <f t="shared" si="61"/>
        <v>1810</v>
      </c>
      <c r="G189" s="13"/>
      <c r="H189" s="21" t="s">
        <v>9</v>
      </c>
      <c r="I189" s="23" t="s">
        <v>61</v>
      </c>
    </row>
    <row r="190" spans="1:9" ht="18" x14ac:dyDescent="0.3">
      <c r="A190" s="21" t="s">
        <v>287</v>
      </c>
      <c r="B190" s="22"/>
      <c r="C190" s="18" t="s">
        <v>288</v>
      </c>
      <c r="D190" s="11">
        <v>852</v>
      </c>
      <c r="E190" s="11">
        <f t="shared" si="60"/>
        <v>590.86199999999997</v>
      </c>
      <c r="F190" s="13">
        <f t="shared" si="61"/>
        <v>700</v>
      </c>
      <c r="G190" s="13"/>
      <c r="H190" s="21" t="s">
        <v>9</v>
      </c>
      <c r="I190" s="23" t="s">
        <v>61</v>
      </c>
    </row>
    <row r="191" spans="1:9" ht="18" x14ac:dyDescent="0.3">
      <c r="A191" s="21" t="s">
        <v>289</v>
      </c>
      <c r="B191" s="22"/>
      <c r="C191" s="18" t="s">
        <v>290</v>
      </c>
      <c r="D191" s="19">
        <v>242</v>
      </c>
      <c r="E191" s="11">
        <f t="shared" si="60"/>
        <v>167.827</v>
      </c>
      <c r="F191" s="13">
        <f t="shared" si="61"/>
        <v>200</v>
      </c>
      <c r="G191" s="13"/>
      <c r="H191" s="21" t="s">
        <v>9</v>
      </c>
      <c r="I191" s="23" t="s">
        <v>61</v>
      </c>
    </row>
    <row r="192" spans="1:9" ht="18" x14ac:dyDescent="0.3">
      <c r="A192" s="21" t="s">
        <v>291</v>
      </c>
      <c r="B192" s="22"/>
      <c r="C192" s="18" t="s">
        <v>292</v>
      </c>
      <c r="D192" s="11">
        <v>1254</v>
      </c>
      <c r="E192" s="11">
        <f t="shared" ref="E192:E197" si="62">D192*0.73*0.95</f>
        <v>869.64899999999989</v>
      </c>
      <c r="F192" s="13">
        <f t="shared" ref="F192:F197" si="63">ROUNDUP((E192*1.18),-1)</f>
        <v>1030</v>
      </c>
      <c r="G192" s="13"/>
      <c r="H192" s="21" t="s">
        <v>9</v>
      </c>
      <c r="I192" s="38" t="s">
        <v>293</v>
      </c>
    </row>
    <row r="193" spans="1:9" ht="18" x14ac:dyDescent="0.3">
      <c r="A193" s="21" t="s">
        <v>294</v>
      </c>
      <c r="B193" s="22"/>
      <c r="C193" s="18" t="s">
        <v>295</v>
      </c>
      <c r="D193" s="11">
        <v>1456</v>
      </c>
      <c r="E193" s="11">
        <f t="shared" si="62"/>
        <v>1009.7359999999999</v>
      </c>
      <c r="F193" s="13">
        <f t="shared" si="63"/>
        <v>1200</v>
      </c>
      <c r="G193" s="13"/>
      <c r="H193" s="21" t="s">
        <v>9</v>
      </c>
      <c r="I193" s="38" t="s">
        <v>293</v>
      </c>
    </row>
    <row r="194" spans="1:9" ht="18" x14ac:dyDescent="0.3">
      <c r="A194" s="21" t="s">
        <v>296</v>
      </c>
      <c r="B194" s="22"/>
      <c r="C194" s="18" t="s">
        <v>297</v>
      </c>
      <c r="D194" s="11">
        <v>1583</v>
      </c>
      <c r="E194" s="11">
        <f t="shared" si="62"/>
        <v>1097.8104999999998</v>
      </c>
      <c r="F194" s="13">
        <f t="shared" si="63"/>
        <v>1300</v>
      </c>
      <c r="G194" s="13"/>
      <c r="H194" s="21" t="s">
        <v>9</v>
      </c>
      <c r="I194" s="38" t="s">
        <v>293</v>
      </c>
    </row>
    <row r="195" spans="1:9" ht="18" x14ac:dyDescent="0.3">
      <c r="A195" s="21" t="s">
        <v>298</v>
      </c>
      <c r="B195" s="22"/>
      <c r="C195" s="18" t="s">
        <v>299</v>
      </c>
      <c r="D195" s="11">
        <v>1699</v>
      </c>
      <c r="E195" s="11">
        <f t="shared" si="62"/>
        <v>1178.2565</v>
      </c>
      <c r="F195" s="13">
        <f t="shared" si="63"/>
        <v>1400</v>
      </c>
      <c r="G195" s="13"/>
      <c r="H195" s="21" t="s">
        <v>9</v>
      </c>
      <c r="I195" s="38" t="s">
        <v>293</v>
      </c>
    </row>
    <row r="196" spans="1:9" ht="18" x14ac:dyDescent="0.3">
      <c r="A196" s="21" t="s">
        <v>300</v>
      </c>
      <c r="B196" s="22"/>
      <c r="C196" s="18" t="s">
        <v>301</v>
      </c>
      <c r="D196" s="11">
        <v>1907</v>
      </c>
      <c r="E196" s="11">
        <f t="shared" si="62"/>
        <v>1322.5044999999998</v>
      </c>
      <c r="F196" s="13">
        <f t="shared" si="63"/>
        <v>1570</v>
      </c>
      <c r="G196" s="13"/>
      <c r="H196" s="21" t="s">
        <v>9</v>
      </c>
      <c r="I196" s="38" t="s">
        <v>293</v>
      </c>
    </row>
    <row r="197" spans="1:9" ht="18" x14ac:dyDescent="0.3">
      <c r="A197" s="21" t="s">
        <v>302</v>
      </c>
      <c r="B197" s="39"/>
      <c r="C197" s="18" t="s">
        <v>303</v>
      </c>
      <c r="D197" s="11">
        <v>2149</v>
      </c>
      <c r="E197" s="11">
        <f t="shared" si="62"/>
        <v>1490.3315</v>
      </c>
      <c r="F197" s="13">
        <f t="shared" si="63"/>
        <v>1760</v>
      </c>
      <c r="G197" s="13"/>
      <c r="H197" s="21" t="s">
        <v>9</v>
      </c>
      <c r="I197" s="38" t="s">
        <v>293</v>
      </c>
    </row>
    <row r="198" spans="1:9" ht="18" x14ac:dyDescent="0.3">
      <c r="A198" s="40" t="s">
        <v>304</v>
      </c>
      <c r="B198" s="22"/>
      <c r="C198" s="18" t="s">
        <v>305</v>
      </c>
      <c r="D198" s="11">
        <v>740</v>
      </c>
      <c r="E198" s="11">
        <f t="shared" ref="E198:E202" si="64">D198*0.73*0.95</f>
        <v>513.18999999999994</v>
      </c>
      <c r="F198" s="13">
        <f t="shared" ref="F198:F202" si="65">ROUNDUP((E198*1.18),-1)</f>
        <v>610</v>
      </c>
      <c r="G198" s="13"/>
      <c r="H198" s="21" t="s">
        <v>9</v>
      </c>
      <c r="I198" s="23" t="s">
        <v>61</v>
      </c>
    </row>
    <row r="199" spans="1:9" ht="18" x14ac:dyDescent="0.3">
      <c r="A199" s="40" t="s">
        <v>306</v>
      </c>
      <c r="B199" s="22"/>
      <c r="C199" s="18" t="s">
        <v>307</v>
      </c>
      <c r="D199" s="11">
        <v>740</v>
      </c>
      <c r="E199" s="11">
        <f t="shared" si="64"/>
        <v>513.18999999999994</v>
      </c>
      <c r="F199" s="13">
        <f t="shared" si="65"/>
        <v>610</v>
      </c>
      <c r="G199" s="13"/>
      <c r="H199" s="21" t="s">
        <v>9</v>
      </c>
      <c r="I199" s="23" t="s">
        <v>61</v>
      </c>
    </row>
    <row r="200" spans="1:9" ht="18" x14ac:dyDescent="0.3">
      <c r="A200" s="40" t="s">
        <v>308</v>
      </c>
      <c r="B200" s="22"/>
      <c r="C200" s="18" t="s">
        <v>309</v>
      </c>
      <c r="D200" s="11">
        <v>697</v>
      </c>
      <c r="E200" s="11">
        <f t="shared" si="64"/>
        <v>483.36949999999996</v>
      </c>
      <c r="F200" s="13">
        <f t="shared" si="65"/>
        <v>580</v>
      </c>
      <c r="G200" s="13"/>
      <c r="H200" s="21" t="s">
        <v>9</v>
      </c>
      <c r="I200" s="23" t="s">
        <v>61</v>
      </c>
    </row>
    <row r="201" spans="1:9" ht="18" x14ac:dyDescent="0.3">
      <c r="A201" s="40" t="s">
        <v>310</v>
      </c>
      <c r="B201" s="22"/>
      <c r="C201" s="18" t="s">
        <v>311</v>
      </c>
      <c r="D201" s="11">
        <v>804</v>
      </c>
      <c r="E201" s="11">
        <f t="shared" si="64"/>
        <v>557.57399999999996</v>
      </c>
      <c r="F201" s="13">
        <f t="shared" si="65"/>
        <v>660</v>
      </c>
      <c r="G201" s="13"/>
      <c r="H201" s="21" t="s">
        <v>9</v>
      </c>
      <c r="I201" s="23" t="s">
        <v>61</v>
      </c>
    </row>
    <row r="202" spans="1:9" ht="18" x14ac:dyDescent="0.3">
      <c r="A202" s="40" t="s">
        <v>312</v>
      </c>
      <c r="B202" s="22"/>
      <c r="C202" s="18" t="s">
        <v>313</v>
      </c>
      <c r="D202" s="11">
        <v>922</v>
      </c>
      <c r="E202" s="11">
        <f t="shared" si="64"/>
        <v>639.40699999999993</v>
      </c>
      <c r="F202" s="13">
        <f t="shared" si="65"/>
        <v>760</v>
      </c>
      <c r="G202" s="13"/>
      <c r="H202" s="21" t="s">
        <v>9</v>
      </c>
      <c r="I202" s="23" t="s">
        <v>61</v>
      </c>
    </row>
    <row r="203" spans="1:9" ht="18" x14ac:dyDescent="0.3">
      <c r="A203" s="21" t="s">
        <v>314</v>
      </c>
      <c r="B203" s="22"/>
      <c r="C203" s="18" t="s">
        <v>315</v>
      </c>
      <c r="D203" s="11">
        <v>38</v>
      </c>
      <c r="E203" s="11">
        <f t="shared" ref="E203:E210" si="66">D203*0.73*0.95</f>
        <v>26.352999999999998</v>
      </c>
      <c r="F203" s="13">
        <f t="shared" ref="F203:F210" si="67">ROUNDUP((E203*1.18),-1)</f>
        <v>40</v>
      </c>
      <c r="G203" s="13"/>
      <c r="H203" s="21" t="s">
        <v>9</v>
      </c>
      <c r="I203" s="23" t="s">
        <v>61</v>
      </c>
    </row>
    <row r="204" spans="1:9" ht="18" x14ac:dyDescent="0.3">
      <c r="A204" s="21" t="s">
        <v>316</v>
      </c>
      <c r="B204" s="22"/>
      <c r="C204" s="18" t="s">
        <v>317</v>
      </c>
      <c r="D204" s="11">
        <v>360</v>
      </c>
      <c r="E204" s="11">
        <f t="shared" si="66"/>
        <v>249.66</v>
      </c>
      <c r="F204" s="13">
        <f t="shared" si="67"/>
        <v>300</v>
      </c>
      <c r="G204" s="13"/>
      <c r="H204" s="21" t="s">
        <v>9</v>
      </c>
      <c r="I204" s="23" t="s">
        <v>61</v>
      </c>
    </row>
    <row r="205" spans="1:9" ht="18" x14ac:dyDescent="0.3">
      <c r="A205" s="21" t="s">
        <v>96</v>
      </c>
      <c r="B205" s="22"/>
      <c r="C205" s="18" t="s">
        <v>97</v>
      </c>
      <c r="D205" s="11">
        <v>65</v>
      </c>
      <c r="E205" s="11">
        <f t="shared" si="66"/>
        <v>45.077499999999993</v>
      </c>
      <c r="F205" s="13">
        <f t="shared" si="67"/>
        <v>60</v>
      </c>
      <c r="G205" s="13"/>
      <c r="H205" s="21" t="s">
        <v>9</v>
      </c>
      <c r="I205" s="23" t="s">
        <v>61</v>
      </c>
    </row>
    <row r="206" spans="1:9" ht="18" x14ac:dyDescent="0.3">
      <c r="A206" s="21" t="s">
        <v>318</v>
      </c>
      <c r="B206" s="22"/>
      <c r="C206" s="18" t="s">
        <v>319</v>
      </c>
      <c r="D206" s="11">
        <v>328</v>
      </c>
      <c r="E206" s="11">
        <f t="shared" si="66"/>
        <v>227.46799999999999</v>
      </c>
      <c r="F206" s="13">
        <f t="shared" si="67"/>
        <v>270</v>
      </c>
      <c r="G206" s="13"/>
      <c r="H206" s="21" t="s">
        <v>9</v>
      </c>
      <c r="I206" s="23" t="s">
        <v>61</v>
      </c>
    </row>
    <row r="207" spans="1:9" ht="18" x14ac:dyDescent="0.3">
      <c r="A207" s="21" t="s">
        <v>320</v>
      </c>
      <c r="B207" s="22"/>
      <c r="C207" s="18" t="s">
        <v>321</v>
      </c>
      <c r="D207" s="11">
        <v>1275</v>
      </c>
      <c r="E207" s="11">
        <f t="shared" si="66"/>
        <v>884.21249999999998</v>
      </c>
      <c r="F207" s="13">
        <f t="shared" si="67"/>
        <v>1050</v>
      </c>
      <c r="G207" s="13"/>
      <c r="H207" s="21" t="s">
        <v>9</v>
      </c>
      <c r="I207" s="23" t="s">
        <v>61</v>
      </c>
    </row>
    <row r="208" spans="1:9" ht="18" x14ac:dyDescent="0.3">
      <c r="A208" s="21" t="s">
        <v>100</v>
      </c>
      <c r="B208" s="22"/>
      <c r="C208" s="18" t="s">
        <v>322</v>
      </c>
      <c r="D208" s="11">
        <v>124</v>
      </c>
      <c r="E208" s="11">
        <f t="shared" si="66"/>
        <v>85.993999999999986</v>
      </c>
      <c r="F208" s="13">
        <f t="shared" si="67"/>
        <v>110</v>
      </c>
      <c r="G208" s="13"/>
      <c r="H208" s="21" t="s">
        <v>9</v>
      </c>
      <c r="I208" s="23" t="s">
        <v>61</v>
      </c>
    </row>
    <row r="209" spans="1:9" ht="18" x14ac:dyDescent="0.3">
      <c r="A209" s="21" t="s">
        <v>323</v>
      </c>
      <c r="B209" s="22"/>
      <c r="C209" s="18" t="s">
        <v>324</v>
      </c>
      <c r="D209" s="11">
        <v>199</v>
      </c>
      <c r="E209" s="11">
        <f t="shared" si="66"/>
        <v>138.00650000000002</v>
      </c>
      <c r="F209" s="13">
        <f t="shared" si="67"/>
        <v>170</v>
      </c>
      <c r="G209" s="13"/>
      <c r="H209" s="21" t="s">
        <v>9</v>
      </c>
      <c r="I209" s="23" t="s">
        <v>61</v>
      </c>
    </row>
    <row r="210" spans="1:9" ht="18" x14ac:dyDescent="0.3">
      <c r="A210" s="21" t="s">
        <v>325</v>
      </c>
      <c r="B210" s="41"/>
      <c r="C210" s="18" t="s">
        <v>326</v>
      </c>
      <c r="D210" s="11">
        <v>376</v>
      </c>
      <c r="E210" s="11">
        <f t="shared" si="66"/>
        <v>260.75600000000003</v>
      </c>
      <c r="F210" s="13">
        <f t="shared" si="67"/>
        <v>310</v>
      </c>
      <c r="G210" s="13"/>
      <c r="H210" s="21" t="s">
        <v>9</v>
      </c>
      <c r="I210" s="23" t="s">
        <v>61</v>
      </c>
    </row>
    <row r="211" spans="1:9" ht="18" x14ac:dyDescent="0.3">
      <c r="A211" s="8" t="s">
        <v>76</v>
      </c>
      <c r="B211" s="16"/>
      <c r="C211" s="18" t="s">
        <v>77</v>
      </c>
      <c r="D211" s="11">
        <v>269</v>
      </c>
      <c r="E211" s="11">
        <f t="shared" ref="E211:E215" si="68">D211*0.73*0.95</f>
        <v>186.5515</v>
      </c>
      <c r="F211" s="13">
        <f t="shared" ref="F211:F215" si="69">ROUNDUP((E211*1.18),-1)</f>
        <v>230</v>
      </c>
      <c r="G211" s="13"/>
      <c r="H211" s="21" t="s">
        <v>9</v>
      </c>
      <c r="I211" s="23" t="s">
        <v>61</v>
      </c>
    </row>
    <row r="212" spans="1:9" ht="18" x14ac:dyDescent="0.3">
      <c r="A212" s="16" t="s">
        <v>78</v>
      </c>
      <c r="B212" s="25"/>
      <c r="C212" s="18" t="s">
        <v>327</v>
      </c>
      <c r="D212" s="11">
        <v>215</v>
      </c>
      <c r="E212" s="11">
        <f t="shared" si="68"/>
        <v>149.10249999999999</v>
      </c>
      <c r="F212" s="13">
        <f t="shared" si="69"/>
        <v>180</v>
      </c>
      <c r="G212" s="13"/>
      <c r="H212" s="21" t="s">
        <v>9</v>
      </c>
      <c r="I212" s="23" t="s">
        <v>61</v>
      </c>
    </row>
    <row r="213" spans="1:9" ht="18" x14ac:dyDescent="0.3">
      <c r="A213" s="16" t="s">
        <v>80</v>
      </c>
      <c r="B213" s="25"/>
      <c r="C213" s="18" t="s">
        <v>81</v>
      </c>
      <c r="D213" s="11">
        <v>617</v>
      </c>
      <c r="E213" s="11">
        <f t="shared" si="68"/>
        <v>427.88949999999994</v>
      </c>
      <c r="F213" s="13">
        <f t="shared" si="69"/>
        <v>510</v>
      </c>
      <c r="G213" s="13"/>
      <c r="H213" s="21" t="s">
        <v>9</v>
      </c>
      <c r="I213" s="23" t="s">
        <v>61</v>
      </c>
    </row>
    <row r="214" spans="1:9" ht="18" x14ac:dyDescent="0.3">
      <c r="A214" s="8" t="s">
        <v>82</v>
      </c>
      <c r="B214" s="22"/>
      <c r="C214" s="18" t="s">
        <v>83</v>
      </c>
      <c r="D214" s="11">
        <v>826</v>
      </c>
      <c r="E214" s="11">
        <f t="shared" si="68"/>
        <v>572.83100000000002</v>
      </c>
      <c r="F214" s="13">
        <f t="shared" si="69"/>
        <v>680</v>
      </c>
      <c r="G214" s="13"/>
      <c r="H214" s="21" t="s">
        <v>9</v>
      </c>
      <c r="I214" s="23" t="s">
        <v>61</v>
      </c>
    </row>
    <row r="215" spans="1:9" ht="18" x14ac:dyDescent="0.3">
      <c r="A215" s="8" t="s">
        <v>84</v>
      </c>
      <c r="B215" s="22"/>
      <c r="C215" s="18" t="s">
        <v>85</v>
      </c>
      <c r="D215" s="11">
        <v>349</v>
      </c>
      <c r="E215" s="11">
        <f t="shared" si="68"/>
        <v>242.03149999999997</v>
      </c>
      <c r="F215" s="13">
        <f t="shared" si="69"/>
        <v>290</v>
      </c>
      <c r="G215" s="13"/>
      <c r="H215" s="21" t="s">
        <v>9</v>
      </c>
      <c r="I215" s="23" t="s">
        <v>61</v>
      </c>
    </row>
    <row r="216" spans="1:9" ht="18" x14ac:dyDescent="0.3">
      <c r="A216" s="21" t="s">
        <v>328</v>
      </c>
      <c r="B216" s="22"/>
      <c r="C216" s="18" t="s">
        <v>329</v>
      </c>
      <c r="D216" s="11">
        <v>190</v>
      </c>
      <c r="E216" s="11">
        <f t="shared" ref="E216:E220" si="70">D216*0.73*0.95</f>
        <v>131.76499999999999</v>
      </c>
      <c r="F216" s="13">
        <f t="shared" ref="F216:F217" si="71">ROUNDUP((E216*1.18),-1)</f>
        <v>160</v>
      </c>
      <c r="G216" s="13"/>
      <c r="H216" s="21" t="s">
        <v>9</v>
      </c>
      <c r="I216" s="42" t="s">
        <v>330</v>
      </c>
    </row>
    <row r="217" spans="1:9" ht="18" x14ac:dyDescent="0.3">
      <c r="A217" s="21" t="s">
        <v>331</v>
      </c>
      <c r="B217" s="22"/>
      <c r="C217" s="18" t="s">
        <v>332</v>
      </c>
      <c r="D217" s="11">
        <v>440</v>
      </c>
      <c r="E217" s="11">
        <f t="shared" si="70"/>
        <v>305.14</v>
      </c>
      <c r="F217" s="13">
        <f t="shared" si="71"/>
        <v>370</v>
      </c>
      <c r="G217" s="13"/>
      <c r="H217" s="21" t="s">
        <v>9</v>
      </c>
      <c r="I217" s="23" t="s">
        <v>61</v>
      </c>
    </row>
    <row r="218" spans="1:9" ht="18" x14ac:dyDescent="0.3">
      <c r="A218" s="21" t="s">
        <v>333</v>
      </c>
      <c r="B218" s="22"/>
      <c r="C218" s="18" t="s">
        <v>334</v>
      </c>
      <c r="D218" s="11">
        <v>2767</v>
      </c>
      <c r="E218" s="11">
        <f t="shared" si="70"/>
        <v>1918.9144999999999</v>
      </c>
      <c r="F218" s="13">
        <f t="shared" ref="F218:F220" si="72">ROUNDUP((E218*1.18),-1)</f>
        <v>2270</v>
      </c>
      <c r="G218" s="13"/>
      <c r="H218" s="21" t="s">
        <v>9</v>
      </c>
      <c r="I218" s="42" t="s">
        <v>330</v>
      </c>
    </row>
    <row r="219" spans="1:9" ht="18" x14ac:dyDescent="0.3">
      <c r="A219" s="21" t="s">
        <v>335</v>
      </c>
      <c r="B219" s="22"/>
      <c r="C219" s="18" t="s">
        <v>336</v>
      </c>
      <c r="D219" s="11">
        <v>2733</v>
      </c>
      <c r="E219" s="11">
        <f t="shared" si="70"/>
        <v>1895.3354999999999</v>
      </c>
      <c r="F219" s="13">
        <f t="shared" si="72"/>
        <v>2240</v>
      </c>
      <c r="G219" s="13"/>
      <c r="H219" s="21" t="s">
        <v>9</v>
      </c>
      <c r="I219" s="42" t="s">
        <v>330</v>
      </c>
    </row>
    <row r="220" spans="1:9" ht="18" x14ac:dyDescent="0.3">
      <c r="A220" s="21" t="s">
        <v>337</v>
      </c>
      <c r="B220" s="22"/>
      <c r="C220" s="18" t="s">
        <v>338</v>
      </c>
      <c r="D220" s="11">
        <v>2850</v>
      </c>
      <c r="E220" s="11">
        <f t="shared" si="70"/>
        <v>1976.4749999999999</v>
      </c>
      <c r="F220" s="13">
        <f t="shared" si="72"/>
        <v>2340</v>
      </c>
      <c r="G220" s="13"/>
      <c r="H220" s="21" t="s">
        <v>9</v>
      </c>
      <c r="I220" s="42" t="s">
        <v>330</v>
      </c>
    </row>
    <row r="221" spans="1:9" ht="18" x14ac:dyDescent="0.3">
      <c r="A221" s="21" t="s">
        <v>339</v>
      </c>
      <c r="B221" s="22"/>
      <c r="C221" s="18" t="s">
        <v>340</v>
      </c>
      <c r="D221" s="11">
        <v>2099</v>
      </c>
      <c r="E221" s="11">
        <f t="shared" ref="E221:E223" si="73">D221*0.73*0.95</f>
        <v>1455.6564999999998</v>
      </c>
      <c r="F221" s="13">
        <f t="shared" ref="F221:F223" si="74">ROUNDUP((E221*1.18),-1)</f>
        <v>1720</v>
      </c>
      <c r="G221" s="13"/>
      <c r="H221" s="21" t="s">
        <v>9</v>
      </c>
      <c r="I221" s="42" t="s">
        <v>330</v>
      </c>
    </row>
    <row r="222" spans="1:9" ht="18" x14ac:dyDescent="0.3">
      <c r="A222" s="21" t="s">
        <v>341</v>
      </c>
      <c r="B222" s="22"/>
      <c r="C222" s="18" t="s">
        <v>342</v>
      </c>
      <c r="D222" s="11">
        <v>1954</v>
      </c>
      <c r="E222" s="11">
        <f t="shared" si="73"/>
        <v>1355.0989999999999</v>
      </c>
      <c r="F222" s="13">
        <f t="shared" si="74"/>
        <v>1600</v>
      </c>
      <c r="G222" s="13"/>
      <c r="H222" s="21" t="s">
        <v>9</v>
      </c>
      <c r="I222" s="42" t="s">
        <v>330</v>
      </c>
    </row>
    <row r="223" spans="1:9" ht="18" x14ac:dyDescent="0.3">
      <c r="A223" s="21" t="s">
        <v>343</v>
      </c>
      <c r="B223" s="22"/>
      <c r="C223" s="18" t="s">
        <v>344</v>
      </c>
      <c r="D223" s="11">
        <v>2060</v>
      </c>
      <c r="E223" s="11">
        <f t="shared" si="73"/>
        <v>1428.61</v>
      </c>
      <c r="F223" s="13">
        <f t="shared" si="74"/>
        <v>1690</v>
      </c>
      <c r="G223" s="13"/>
      <c r="H223" s="21" t="s">
        <v>9</v>
      </c>
      <c r="I223" s="42" t="s">
        <v>330</v>
      </c>
    </row>
    <row r="224" spans="1:9" ht="18" x14ac:dyDescent="0.3">
      <c r="A224" s="21" t="s">
        <v>345</v>
      </c>
      <c r="B224" s="22"/>
      <c r="C224" s="18" t="s">
        <v>346</v>
      </c>
      <c r="D224" s="11">
        <v>1147</v>
      </c>
      <c r="E224" s="11">
        <f t="shared" ref="E224:E226" si="75">D224*0.73*0.95</f>
        <v>795.44449999999995</v>
      </c>
      <c r="F224" s="13">
        <f t="shared" ref="F224:F226" si="76">ROUNDUP((E224*1.18),-1)</f>
        <v>940</v>
      </c>
      <c r="G224" s="13"/>
      <c r="H224" s="21" t="s">
        <v>9</v>
      </c>
      <c r="I224" s="42" t="s">
        <v>330</v>
      </c>
    </row>
    <row r="225" spans="1:9" ht="18" x14ac:dyDescent="0.3">
      <c r="A225" s="21" t="s">
        <v>347</v>
      </c>
      <c r="B225" s="22"/>
      <c r="C225" s="18" t="s">
        <v>348</v>
      </c>
      <c r="D225" s="11">
        <v>1036</v>
      </c>
      <c r="E225" s="11">
        <f t="shared" si="75"/>
        <v>718.46599999999989</v>
      </c>
      <c r="F225" s="13">
        <f t="shared" si="76"/>
        <v>850</v>
      </c>
      <c r="G225" s="13"/>
      <c r="H225" s="21" t="s">
        <v>9</v>
      </c>
      <c r="I225" s="42" t="s">
        <v>330</v>
      </c>
    </row>
    <row r="226" spans="1:9" ht="18" x14ac:dyDescent="0.3">
      <c r="A226" s="21" t="s">
        <v>349</v>
      </c>
      <c r="B226" s="39"/>
      <c r="C226" s="18" t="s">
        <v>350</v>
      </c>
      <c r="D226" s="11">
        <v>1069</v>
      </c>
      <c r="E226" s="11">
        <f t="shared" si="75"/>
        <v>741.35149999999999</v>
      </c>
      <c r="F226" s="13">
        <f t="shared" si="76"/>
        <v>880</v>
      </c>
      <c r="G226" s="13"/>
      <c r="H226" s="21" t="s">
        <v>9</v>
      </c>
      <c r="I226" s="42" t="s">
        <v>330</v>
      </c>
    </row>
    <row r="227" spans="1:9" ht="18" x14ac:dyDescent="0.3">
      <c r="A227" s="21" t="s">
        <v>351</v>
      </c>
      <c r="B227" s="22"/>
      <c r="C227" s="18" t="s">
        <v>352</v>
      </c>
      <c r="D227" s="11">
        <v>591</v>
      </c>
      <c r="E227" s="11">
        <f t="shared" ref="E227:E228" si="77">D227*0.73*0.95</f>
        <v>409.85849999999999</v>
      </c>
      <c r="F227" s="13">
        <f t="shared" ref="F227:F228" si="78">ROUNDUP((E227*1.18),-1)</f>
        <v>490</v>
      </c>
      <c r="G227" s="13"/>
      <c r="H227" s="21" t="s">
        <v>9</v>
      </c>
      <c r="I227" s="42" t="s">
        <v>330</v>
      </c>
    </row>
    <row r="228" spans="1:9" ht="18" x14ac:dyDescent="0.3">
      <c r="A228" s="21" t="s">
        <v>353</v>
      </c>
      <c r="B228" s="22"/>
      <c r="C228" s="18" t="s">
        <v>354</v>
      </c>
      <c r="D228" s="11">
        <v>357</v>
      </c>
      <c r="E228" s="11">
        <f t="shared" si="77"/>
        <v>247.5795</v>
      </c>
      <c r="F228" s="13">
        <f t="shared" si="78"/>
        <v>300</v>
      </c>
      <c r="G228" s="13"/>
      <c r="H228" s="21" t="s">
        <v>9</v>
      </c>
      <c r="I228" s="42" t="s">
        <v>330</v>
      </c>
    </row>
    <row r="229" spans="1:9" ht="18" x14ac:dyDescent="0.3">
      <c r="A229" s="26" t="s">
        <v>102</v>
      </c>
      <c r="B229" s="27"/>
      <c r="C229" s="28" t="s">
        <v>103</v>
      </c>
      <c r="D229" s="11">
        <v>263</v>
      </c>
      <c r="E229" s="11">
        <f t="shared" ref="E229:E239" si="79">D229*0.73*0.95</f>
        <v>182.3905</v>
      </c>
      <c r="F229" s="13">
        <f t="shared" ref="F229:F239" si="80">ROUNDUP((E229*1.18),-1)</f>
        <v>220</v>
      </c>
      <c r="G229" s="13"/>
      <c r="H229" s="30" t="s">
        <v>9</v>
      </c>
      <c r="I229" s="29" t="s">
        <v>104</v>
      </c>
    </row>
    <row r="230" spans="1:9" ht="18" x14ac:dyDescent="0.3">
      <c r="A230" s="26" t="s">
        <v>105</v>
      </c>
      <c r="B230" s="43"/>
      <c r="C230" s="28" t="s">
        <v>106</v>
      </c>
      <c r="D230" s="11">
        <v>437</v>
      </c>
      <c r="E230" s="11">
        <f t="shared" si="79"/>
        <v>303.05949999999996</v>
      </c>
      <c r="F230" s="13">
        <f t="shared" si="80"/>
        <v>360</v>
      </c>
      <c r="G230" s="13"/>
      <c r="H230" s="30" t="s">
        <v>9</v>
      </c>
      <c r="I230" s="29" t="s">
        <v>104</v>
      </c>
    </row>
    <row r="231" spans="1:9" ht="18" x14ac:dyDescent="0.3">
      <c r="A231" s="21" t="s">
        <v>355</v>
      </c>
      <c r="B231" s="43"/>
      <c r="C231" s="44" t="s">
        <v>356</v>
      </c>
      <c r="D231" s="11">
        <v>410</v>
      </c>
      <c r="E231" s="11">
        <f t="shared" si="79"/>
        <v>284.33499999999998</v>
      </c>
      <c r="F231" s="13">
        <f t="shared" si="80"/>
        <v>340</v>
      </c>
      <c r="G231" s="13"/>
      <c r="H231" s="30" t="s">
        <v>9</v>
      </c>
      <c r="I231" s="29" t="s">
        <v>104</v>
      </c>
    </row>
    <row r="232" spans="1:9" ht="18" x14ac:dyDescent="0.3">
      <c r="A232" s="21" t="s">
        <v>357</v>
      </c>
      <c r="B232" s="27"/>
      <c r="C232" s="44" t="s">
        <v>358</v>
      </c>
      <c r="D232" s="11">
        <v>410</v>
      </c>
      <c r="E232" s="11">
        <f t="shared" si="79"/>
        <v>284.33499999999998</v>
      </c>
      <c r="F232" s="13">
        <f t="shared" si="80"/>
        <v>340</v>
      </c>
      <c r="G232" s="13"/>
      <c r="H232" s="30" t="s">
        <v>9</v>
      </c>
      <c r="I232" s="29" t="s">
        <v>104</v>
      </c>
    </row>
    <row r="233" spans="1:9" ht="18" x14ac:dyDescent="0.3">
      <c r="A233" s="26" t="s">
        <v>359</v>
      </c>
      <c r="B233" s="31"/>
      <c r="C233" s="28" t="s">
        <v>360</v>
      </c>
      <c r="D233" s="11">
        <v>410</v>
      </c>
      <c r="E233" s="11">
        <f t="shared" si="79"/>
        <v>284.33499999999998</v>
      </c>
      <c r="F233" s="13">
        <f t="shared" si="80"/>
        <v>340</v>
      </c>
      <c r="G233" s="13"/>
      <c r="H233" s="30" t="s">
        <v>9</v>
      </c>
      <c r="I233" s="29" t="s">
        <v>104</v>
      </c>
    </row>
    <row r="234" spans="1:9" ht="18" x14ac:dyDescent="0.3">
      <c r="A234" s="30" t="s">
        <v>109</v>
      </c>
      <c r="B234" s="31"/>
      <c r="C234" s="32" t="s">
        <v>110</v>
      </c>
      <c r="D234" s="11">
        <v>618</v>
      </c>
      <c r="E234" s="11">
        <f t="shared" si="79"/>
        <v>428.58299999999997</v>
      </c>
      <c r="F234" s="13">
        <f t="shared" si="80"/>
        <v>510</v>
      </c>
      <c r="G234" s="13"/>
      <c r="H234" s="30" t="s">
        <v>9</v>
      </c>
      <c r="I234" s="29" t="s">
        <v>104</v>
      </c>
    </row>
    <row r="235" spans="1:9" ht="18" x14ac:dyDescent="0.3">
      <c r="A235" s="30" t="s">
        <v>111</v>
      </c>
      <c r="B235" s="31"/>
      <c r="C235" s="32" t="s">
        <v>112</v>
      </c>
      <c r="D235" s="11">
        <v>618</v>
      </c>
      <c r="E235" s="11">
        <f t="shared" si="79"/>
        <v>428.58299999999997</v>
      </c>
      <c r="F235" s="13">
        <f t="shared" si="80"/>
        <v>510</v>
      </c>
      <c r="G235" s="13"/>
      <c r="H235" s="30" t="s">
        <v>9</v>
      </c>
      <c r="I235" s="29" t="s">
        <v>104</v>
      </c>
    </row>
    <row r="236" spans="1:9" ht="18" x14ac:dyDescent="0.3">
      <c r="A236" s="30" t="s">
        <v>113</v>
      </c>
      <c r="B236" s="31"/>
      <c r="C236" s="32" t="s">
        <v>114</v>
      </c>
      <c r="D236" s="11">
        <v>618</v>
      </c>
      <c r="E236" s="11">
        <f t="shared" si="79"/>
        <v>428.58299999999997</v>
      </c>
      <c r="F236" s="13">
        <f t="shared" si="80"/>
        <v>510</v>
      </c>
      <c r="G236" s="13"/>
      <c r="H236" s="30" t="s">
        <v>9</v>
      </c>
      <c r="I236" s="29" t="s">
        <v>104</v>
      </c>
    </row>
    <row r="237" spans="1:9" ht="18" x14ac:dyDescent="0.3">
      <c r="A237" s="30" t="s">
        <v>115</v>
      </c>
      <c r="B237" s="31"/>
      <c r="C237" s="32" t="s">
        <v>116</v>
      </c>
      <c r="D237" s="11">
        <v>618</v>
      </c>
      <c r="E237" s="11">
        <f t="shared" si="79"/>
        <v>428.58299999999997</v>
      </c>
      <c r="F237" s="13">
        <f t="shared" si="80"/>
        <v>510</v>
      </c>
      <c r="G237" s="13"/>
      <c r="H237" s="30" t="s">
        <v>9</v>
      </c>
      <c r="I237" s="29" t="s">
        <v>104</v>
      </c>
    </row>
    <row r="238" spans="1:9" ht="18" x14ac:dyDescent="0.3">
      <c r="A238" s="45" t="s">
        <v>361</v>
      </c>
      <c r="B238" s="31"/>
      <c r="C238" s="32" t="s">
        <v>362</v>
      </c>
      <c r="D238" s="11">
        <v>596</v>
      </c>
      <c r="E238" s="11">
        <f t="shared" si="79"/>
        <v>413.32599999999996</v>
      </c>
      <c r="F238" s="13">
        <f t="shared" si="80"/>
        <v>490</v>
      </c>
      <c r="G238" s="13"/>
      <c r="H238" s="30" t="s">
        <v>9</v>
      </c>
      <c r="I238" s="29" t="s">
        <v>104</v>
      </c>
    </row>
    <row r="239" spans="1:9" ht="18" x14ac:dyDescent="0.3">
      <c r="A239" s="45" t="s">
        <v>363</v>
      </c>
      <c r="B239" s="31"/>
      <c r="C239" s="32" t="s">
        <v>364</v>
      </c>
      <c r="D239" s="11">
        <v>596</v>
      </c>
      <c r="E239" s="11">
        <f t="shared" si="79"/>
        <v>413.32599999999996</v>
      </c>
      <c r="F239" s="13">
        <f t="shared" si="80"/>
        <v>490</v>
      </c>
      <c r="G239" s="13"/>
      <c r="H239" s="30" t="s">
        <v>9</v>
      </c>
      <c r="I239" s="29" t="s">
        <v>104</v>
      </c>
    </row>
    <row r="240" spans="1:9" ht="18" x14ac:dyDescent="0.3">
      <c r="A240" s="30" t="s">
        <v>365</v>
      </c>
      <c r="B240" s="46" t="s">
        <v>1187</v>
      </c>
      <c r="C240" s="47" t="s">
        <v>1159</v>
      </c>
      <c r="D240" s="11">
        <v>11802</v>
      </c>
      <c r="E240" s="12">
        <f t="shared" ref="E240:E245" si="81">D240*0.73*0.95*0.97</f>
        <v>7939.146389999999</v>
      </c>
      <c r="F240" s="13">
        <f t="shared" ref="F240:F245" si="82">ROUNDUP((E240*1.15),-1)</f>
        <v>9140</v>
      </c>
      <c r="G240" s="13">
        <v>470</v>
      </c>
      <c r="H240" s="26" t="s">
        <v>9</v>
      </c>
      <c r="I240" s="48" t="s">
        <v>366</v>
      </c>
    </row>
    <row r="241" spans="1:9" ht="18" x14ac:dyDescent="0.3">
      <c r="A241" s="30" t="s">
        <v>367</v>
      </c>
      <c r="B241" s="46" t="s">
        <v>1187</v>
      </c>
      <c r="C241" s="47" t="s">
        <v>1160</v>
      </c>
      <c r="D241" s="11">
        <v>12142</v>
      </c>
      <c r="E241" s="12">
        <f t="shared" si="81"/>
        <v>8167.862689999999</v>
      </c>
      <c r="F241" s="13">
        <f t="shared" si="82"/>
        <v>9400</v>
      </c>
      <c r="G241" s="13">
        <v>470</v>
      </c>
      <c r="H241" s="26" t="s">
        <v>9</v>
      </c>
      <c r="I241" s="48" t="s">
        <v>366</v>
      </c>
    </row>
    <row r="242" spans="1:9" ht="18" x14ac:dyDescent="0.3">
      <c r="A242" s="30" t="s">
        <v>368</v>
      </c>
      <c r="B242" s="46" t="s">
        <v>1187</v>
      </c>
      <c r="C242" s="47" t="s">
        <v>1161</v>
      </c>
      <c r="D242" s="11">
        <v>12173</v>
      </c>
      <c r="E242" s="12">
        <f t="shared" si="81"/>
        <v>8188.7162349999981</v>
      </c>
      <c r="F242" s="13">
        <f t="shared" si="82"/>
        <v>9420</v>
      </c>
      <c r="G242" s="13">
        <v>470</v>
      </c>
      <c r="H242" s="26" t="s">
        <v>9</v>
      </c>
      <c r="I242" s="48" t="s">
        <v>366</v>
      </c>
    </row>
    <row r="243" spans="1:9" ht="18" x14ac:dyDescent="0.3">
      <c r="A243" s="30" t="s">
        <v>369</v>
      </c>
      <c r="B243" s="46" t="s">
        <v>1187</v>
      </c>
      <c r="C243" s="47" t="s">
        <v>1162</v>
      </c>
      <c r="D243" s="11">
        <v>14386</v>
      </c>
      <c r="E243" s="12">
        <f t="shared" si="81"/>
        <v>9677.3902699999981</v>
      </c>
      <c r="F243" s="13">
        <f t="shared" si="82"/>
        <v>11130</v>
      </c>
      <c r="G243" s="13">
        <v>470</v>
      </c>
      <c r="H243" s="26" t="s">
        <v>9</v>
      </c>
      <c r="I243" s="48" t="s">
        <v>366</v>
      </c>
    </row>
    <row r="244" spans="1:9" ht="18" x14ac:dyDescent="0.3">
      <c r="A244" s="30" t="s">
        <v>370</v>
      </c>
      <c r="B244" s="46" t="s">
        <v>1187</v>
      </c>
      <c r="C244" s="47" t="s">
        <v>1163</v>
      </c>
      <c r="D244" s="11">
        <v>15680</v>
      </c>
      <c r="E244" s="12">
        <f t="shared" si="81"/>
        <v>10547.857599999999</v>
      </c>
      <c r="F244" s="13">
        <f t="shared" si="82"/>
        <v>12140</v>
      </c>
      <c r="G244" s="13">
        <v>470</v>
      </c>
      <c r="H244" s="26" t="s">
        <v>9</v>
      </c>
      <c r="I244" s="48" t="s">
        <v>366</v>
      </c>
    </row>
    <row r="245" spans="1:9" ht="18" x14ac:dyDescent="0.3">
      <c r="A245" s="30" t="s">
        <v>371</v>
      </c>
      <c r="B245" s="49" t="s">
        <v>14</v>
      </c>
      <c r="C245" s="47" t="s">
        <v>1035</v>
      </c>
      <c r="D245" s="11">
        <v>16040</v>
      </c>
      <c r="E245" s="12">
        <f t="shared" si="81"/>
        <v>10790.027799999998</v>
      </c>
      <c r="F245" s="13">
        <f t="shared" si="82"/>
        <v>12410</v>
      </c>
      <c r="G245" s="13">
        <v>470</v>
      </c>
      <c r="H245" s="26" t="s">
        <v>9</v>
      </c>
      <c r="I245" s="48" t="s">
        <v>366</v>
      </c>
    </row>
    <row r="246" spans="1:9" ht="18" x14ac:dyDescent="0.3">
      <c r="A246" s="21" t="s">
        <v>372</v>
      </c>
      <c r="B246" s="43"/>
      <c r="C246" s="44" t="s">
        <v>373</v>
      </c>
      <c r="D246" s="11">
        <v>906</v>
      </c>
      <c r="E246" s="11">
        <f t="shared" ref="E246:E250" si="83">D246*0.73*0.95</f>
        <v>628.31099999999992</v>
      </c>
      <c r="F246" s="13">
        <f t="shared" ref="F246:F250" si="84">ROUNDUP((E246*1.18),-1)</f>
        <v>750</v>
      </c>
      <c r="G246" s="13"/>
      <c r="H246" s="26" t="s">
        <v>9</v>
      </c>
      <c r="I246" s="23" t="s">
        <v>61</v>
      </c>
    </row>
    <row r="247" spans="1:9" ht="18" x14ac:dyDescent="0.3">
      <c r="A247" s="21" t="s">
        <v>374</v>
      </c>
      <c r="B247" s="43"/>
      <c r="C247" s="44" t="s">
        <v>375</v>
      </c>
      <c r="D247" s="11">
        <v>1275</v>
      </c>
      <c r="E247" s="11">
        <f t="shared" si="83"/>
        <v>884.21249999999998</v>
      </c>
      <c r="F247" s="13">
        <f t="shared" si="84"/>
        <v>1050</v>
      </c>
      <c r="G247" s="13"/>
      <c r="H247" s="26" t="s">
        <v>9</v>
      </c>
      <c r="I247" s="23" t="s">
        <v>61</v>
      </c>
    </row>
    <row r="248" spans="1:9" ht="18" x14ac:dyDescent="0.3">
      <c r="A248" s="21" t="s">
        <v>376</v>
      </c>
      <c r="B248" s="43"/>
      <c r="C248" s="44" t="s">
        <v>377</v>
      </c>
      <c r="D248" s="11">
        <v>1559</v>
      </c>
      <c r="E248" s="11">
        <f t="shared" si="83"/>
        <v>1081.1664999999998</v>
      </c>
      <c r="F248" s="13">
        <f t="shared" si="84"/>
        <v>1280</v>
      </c>
      <c r="G248" s="13"/>
      <c r="H248" s="26" t="s">
        <v>9</v>
      </c>
      <c r="I248" s="23" t="s">
        <v>61</v>
      </c>
    </row>
    <row r="249" spans="1:9" ht="18" x14ac:dyDescent="0.3">
      <c r="A249" s="21" t="s">
        <v>378</v>
      </c>
      <c r="B249" s="43"/>
      <c r="C249" s="44" t="s">
        <v>379</v>
      </c>
      <c r="D249" s="11">
        <v>119</v>
      </c>
      <c r="E249" s="11">
        <f t="shared" si="83"/>
        <v>82.526499999999999</v>
      </c>
      <c r="F249" s="13">
        <f t="shared" si="84"/>
        <v>100</v>
      </c>
      <c r="G249" s="13"/>
      <c r="H249" s="21" t="s">
        <v>9</v>
      </c>
      <c r="I249" s="23" t="s">
        <v>61</v>
      </c>
    </row>
    <row r="250" spans="1:9" ht="18" x14ac:dyDescent="0.3">
      <c r="A250" s="21" t="s">
        <v>380</v>
      </c>
      <c r="B250" s="43"/>
      <c r="C250" s="44" t="s">
        <v>381</v>
      </c>
      <c r="D250" s="11">
        <v>450</v>
      </c>
      <c r="E250" s="11">
        <f t="shared" si="83"/>
        <v>312.07499999999999</v>
      </c>
      <c r="F250" s="13">
        <f t="shared" si="84"/>
        <v>370</v>
      </c>
      <c r="G250" s="13"/>
      <c r="H250" s="21" t="s">
        <v>9</v>
      </c>
      <c r="I250" s="23" t="s">
        <v>61</v>
      </c>
    </row>
    <row r="251" spans="1:9" ht="18" x14ac:dyDescent="0.3">
      <c r="A251" s="21" t="s">
        <v>382</v>
      </c>
      <c r="B251" s="43"/>
      <c r="C251" s="44" t="s">
        <v>383</v>
      </c>
      <c r="D251" s="11">
        <v>429</v>
      </c>
      <c r="E251" s="11">
        <f t="shared" ref="E251:E256" si="85">D251*0.73*0.95</f>
        <v>297.51150000000001</v>
      </c>
      <c r="F251" s="13">
        <f t="shared" ref="F251:F256" si="86">ROUNDUP((E251*1.18),-1)</f>
        <v>360</v>
      </c>
      <c r="G251" s="13"/>
      <c r="H251" s="26" t="s">
        <v>9</v>
      </c>
      <c r="I251" s="23" t="s">
        <v>61</v>
      </c>
    </row>
    <row r="252" spans="1:9" ht="18" x14ac:dyDescent="0.3">
      <c r="A252" s="21" t="s">
        <v>384</v>
      </c>
      <c r="B252" s="43"/>
      <c r="C252" s="44" t="s">
        <v>385</v>
      </c>
      <c r="D252" s="11">
        <v>210</v>
      </c>
      <c r="E252" s="11">
        <f t="shared" si="85"/>
        <v>145.63499999999999</v>
      </c>
      <c r="F252" s="13">
        <f t="shared" si="86"/>
        <v>180</v>
      </c>
      <c r="G252" s="13"/>
      <c r="H252" s="8" t="s">
        <v>9</v>
      </c>
      <c r="I252" s="23" t="s">
        <v>61</v>
      </c>
    </row>
    <row r="253" spans="1:9" ht="18" x14ac:dyDescent="0.3">
      <c r="A253" s="21" t="s">
        <v>386</v>
      </c>
      <c r="B253" s="43"/>
      <c r="C253" s="44" t="s">
        <v>387</v>
      </c>
      <c r="D253" s="11">
        <v>804</v>
      </c>
      <c r="E253" s="11">
        <f t="shared" si="85"/>
        <v>557.57399999999996</v>
      </c>
      <c r="F253" s="13">
        <f t="shared" si="86"/>
        <v>660</v>
      </c>
      <c r="G253" s="13"/>
      <c r="H253" s="21" t="s">
        <v>9</v>
      </c>
      <c r="I253" s="23" t="s">
        <v>61</v>
      </c>
    </row>
    <row r="254" spans="1:9" ht="18" x14ac:dyDescent="0.3">
      <c r="A254" s="21" t="s">
        <v>388</v>
      </c>
      <c r="B254" s="22"/>
      <c r="C254" s="44" t="s">
        <v>389</v>
      </c>
      <c r="D254" s="11">
        <v>1318</v>
      </c>
      <c r="E254" s="11">
        <f t="shared" si="85"/>
        <v>914.0329999999999</v>
      </c>
      <c r="F254" s="13">
        <f t="shared" si="86"/>
        <v>1080</v>
      </c>
      <c r="G254" s="13"/>
      <c r="H254" s="21" t="s">
        <v>9</v>
      </c>
      <c r="I254" s="23" t="s">
        <v>61</v>
      </c>
    </row>
    <row r="255" spans="1:9" ht="18" x14ac:dyDescent="0.3">
      <c r="A255" s="21" t="s">
        <v>390</v>
      </c>
      <c r="B255" s="22"/>
      <c r="C255" s="44" t="s">
        <v>391</v>
      </c>
      <c r="D255" s="11">
        <v>129</v>
      </c>
      <c r="E255" s="11">
        <f t="shared" si="85"/>
        <v>89.461500000000001</v>
      </c>
      <c r="F255" s="13">
        <f t="shared" si="86"/>
        <v>110</v>
      </c>
      <c r="G255" s="13"/>
      <c r="H255" s="51" t="s">
        <v>9</v>
      </c>
      <c r="I255" s="23" t="s">
        <v>61</v>
      </c>
    </row>
    <row r="256" spans="1:9" ht="18" x14ac:dyDescent="0.3">
      <c r="A256" s="21" t="s">
        <v>392</v>
      </c>
      <c r="B256" s="43"/>
      <c r="C256" s="44" t="s">
        <v>393</v>
      </c>
      <c r="D256" s="11">
        <v>226</v>
      </c>
      <c r="E256" s="11">
        <f t="shared" si="85"/>
        <v>156.73099999999999</v>
      </c>
      <c r="F256" s="13">
        <f t="shared" si="86"/>
        <v>190</v>
      </c>
      <c r="G256" s="13"/>
      <c r="H256" s="51" t="s">
        <v>9</v>
      </c>
      <c r="I256" s="23" t="s">
        <v>61</v>
      </c>
    </row>
    <row r="257" spans="1:9" ht="18" x14ac:dyDescent="0.3">
      <c r="A257" s="26" t="s">
        <v>394</v>
      </c>
      <c r="B257" s="43"/>
      <c r="C257" s="44" t="s">
        <v>395</v>
      </c>
      <c r="D257" s="11">
        <v>438</v>
      </c>
      <c r="E257" s="11">
        <f t="shared" ref="E257:E261" si="87">D257*0.73*0.95</f>
        <v>303.75299999999999</v>
      </c>
      <c r="F257" s="13">
        <f t="shared" ref="F257:F261" si="88">ROUNDUP((E257*1.18),-1)</f>
        <v>360</v>
      </c>
      <c r="G257" s="13"/>
      <c r="H257" s="26" t="s">
        <v>9</v>
      </c>
      <c r="I257" s="23" t="s">
        <v>61</v>
      </c>
    </row>
    <row r="258" spans="1:9" ht="18" x14ac:dyDescent="0.3">
      <c r="A258" s="21" t="s">
        <v>396</v>
      </c>
      <c r="B258" s="22"/>
      <c r="C258" s="44" t="s">
        <v>397</v>
      </c>
      <c r="D258" s="11">
        <v>338</v>
      </c>
      <c r="E258" s="11">
        <f t="shared" si="87"/>
        <v>234.40299999999996</v>
      </c>
      <c r="F258" s="13">
        <f t="shared" si="88"/>
        <v>280</v>
      </c>
      <c r="G258" s="13"/>
      <c r="H258" s="21" t="s">
        <v>9</v>
      </c>
      <c r="I258" s="23" t="s">
        <v>61</v>
      </c>
    </row>
    <row r="259" spans="1:9" ht="18" x14ac:dyDescent="0.3">
      <c r="A259" s="21" t="s">
        <v>76</v>
      </c>
      <c r="B259" s="16"/>
      <c r="C259" s="44" t="s">
        <v>77</v>
      </c>
      <c r="D259" s="11">
        <v>269</v>
      </c>
      <c r="E259" s="11">
        <f t="shared" si="87"/>
        <v>186.5515</v>
      </c>
      <c r="F259" s="13">
        <f t="shared" si="88"/>
        <v>230</v>
      </c>
      <c r="G259" s="13"/>
      <c r="H259" s="21" t="s">
        <v>9</v>
      </c>
      <c r="I259" s="23" t="s">
        <v>61</v>
      </c>
    </row>
    <row r="260" spans="1:9" ht="18" x14ac:dyDescent="0.3">
      <c r="A260" s="21" t="s">
        <v>78</v>
      </c>
      <c r="B260" s="22"/>
      <c r="C260" s="18" t="s">
        <v>79</v>
      </c>
      <c r="D260" s="11">
        <v>215</v>
      </c>
      <c r="E260" s="11">
        <f t="shared" si="87"/>
        <v>149.10249999999999</v>
      </c>
      <c r="F260" s="13">
        <f t="shared" si="88"/>
        <v>180</v>
      </c>
      <c r="G260" s="13"/>
      <c r="H260" s="21" t="s">
        <v>9</v>
      </c>
      <c r="I260" s="23" t="s">
        <v>61</v>
      </c>
    </row>
    <row r="261" spans="1:9" ht="18" x14ac:dyDescent="0.3">
      <c r="A261" s="21" t="s">
        <v>84</v>
      </c>
      <c r="B261" s="22"/>
      <c r="C261" s="44" t="s">
        <v>85</v>
      </c>
      <c r="D261" s="11">
        <v>349</v>
      </c>
      <c r="E261" s="11">
        <f t="shared" si="87"/>
        <v>242.03149999999997</v>
      </c>
      <c r="F261" s="13">
        <f t="shared" si="88"/>
        <v>290</v>
      </c>
      <c r="G261" s="13"/>
      <c r="H261" s="21" t="s">
        <v>9</v>
      </c>
      <c r="I261" s="23" t="s">
        <v>61</v>
      </c>
    </row>
    <row r="262" spans="1:9" ht="18" x14ac:dyDescent="0.3">
      <c r="A262" s="51" t="s">
        <v>398</v>
      </c>
      <c r="B262" s="52"/>
      <c r="C262" s="53" t="s">
        <v>399</v>
      </c>
      <c r="D262" s="11">
        <v>236</v>
      </c>
      <c r="E262" s="11">
        <f t="shared" ref="E262:E272" si="89">D262*0.73*0.95</f>
        <v>163.666</v>
      </c>
      <c r="F262" s="13">
        <f t="shared" ref="F262:F272" si="90">ROUNDUP((E262*1.18),-1)</f>
        <v>200</v>
      </c>
      <c r="G262" s="13"/>
      <c r="H262" s="51" t="s">
        <v>9</v>
      </c>
      <c r="I262" s="29" t="s">
        <v>104</v>
      </c>
    </row>
    <row r="263" spans="1:9" ht="18" x14ac:dyDescent="0.3">
      <c r="A263" s="51" t="s">
        <v>102</v>
      </c>
      <c r="B263" s="52"/>
      <c r="C263" s="53" t="s">
        <v>103</v>
      </c>
      <c r="D263" s="11">
        <v>263</v>
      </c>
      <c r="E263" s="11">
        <f t="shared" si="89"/>
        <v>182.3905</v>
      </c>
      <c r="F263" s="13">
        <f t="shared" si="90"/>
        <v>220</v>
      </c>
      <c r="G263" s="13"/>
      <c r="H263" s="51" t="s">
        <v>9</v>
      </c>
      <c r="I263" s="29" t="s">
        <v>104</v>
      </c>
    </row>
    <row r="264" spans="1:9" ht="18" x14ac:dyDescent="0.3">
      <c r="A264" s="51" t="s">
        <v>105</v>
      </c>
      <c r="B264" s="52"/>
      <c r="C264" s="53" t="s">
        <v>106</v>
      </c>
      <c r="D264" s="11">
        <v>437</v>
      </c>
      <c r="E264" s="11">
        <f t="shared" si="89"/>
        <v>303.05949999999996</v>
      </c>
      <c r="F264" s="13">
        <f t="shared" si="90"/>
        <v>360</v>
      </c>
      <c r="G264" s="13"/>
      <c r="H264" s="51" t="s">
        <v>9</v>
      </c>
      <c r="I264" s="29" t="s">
        <v>104</v>
      </c>
    </row>
    <row r="265" spans="1:9" ht="18" x14ac:dyDescent="0.3">
      <c r="A265" s="51" t="s">
        <v>355</v>
      </c>
      <c r="B265" s="52"/>
      <c r="C265" s="53" t="s">
        <v>356</v>
      </c>
      <c r="D265" s="11">
        <v>410</v>
      </c>
      <c r="E265" s="11">
        <f t="shared" si="89"/>
        <v>284.33499999999998</v>
      </c>
      <c r="F265" s="13">
        <f t="shared" si="90"/>
        <v>340</v>
      </c>
      <c r="G265" s="13"/>
      <c r="H265" s="51" t="s">
        <v>9</v>
      </c>
      <c r="I265" s="29" t="s">
        <v>104</v>
      </c>
    </row>
    <row r="266" spans="1:9" ht="18" x14ac:dyDescent="0.3">
      <c r="A266" s="51" t="s">
        <v>357</v>
      </c>
      <c r="B266" s="52"/>
      <c r="C266" s="53" t="s">
        <v>358</v>
      </c>
      <c r="D266" s="11">
        <v>410</v>
      </c>
      <c r="E266" s="11">
        <f t="shared" si="89"/>
        <v>284.33499999999998</v>
      </c>
      <c r="F266" s="13">
        <f t="shared" si="90"/>
        <v>340</v>
      </c>
      <c r="G266" s="13"/>
      <c r="H266" s="51" t="s">
        <v>9</v>
      </c>
      <c r="I266" s="29" t="s">
        <v>104</v>
      </c>
    </row>
    <row r="267" spans="1:9" ht="18" x14ac:dyDescent="0.3">
      <c r="A267" s="51" t="s">
        <v>359</v>
      </c>
      <c r="B267" s="52"/>
      <c r="C267" s="53" t="s">
        <v>360</v>
      </c>
      <c r="D267" s="11">
        <v>410</v>
      </c>
      <c r="E267" s="11">
        <f t="shared" si="89"/>
        <v>284.33499999999998</v>
      </c>
      <c r="F267" s="13">
        <f t="shared" si="90"/>
        <v>340</v>
      </c>
      <c r="G267" s="13"/>
      <c r="H267" s="51" t="s">
        <v>9</v>
      </c>
      <c r="I267" s="29" t="s">
        <v>104</v>
      </c>
    </row>
    <row r="268" spans="1:9" ht="18" x14ac:dyDescent="0.3">
      <c r="A268" s="21" t="s">
        <v>113</v>
      </c>
      <c r="B268" s="52"/>
      <c r="C268" s="54" t="s">
        <v>114</v>
      </c>
      <c r="D268" s="11">
        <v>618</v>
      </c>
      <c r="E268" s="11">
        <f t="shared" si="89"/>
        <v>428.58299999999997</v>
      </c>
      <c r="F268" s="13">
        <f t="shared" si="90"/>
        <v>510</v>
      </c>
      <c r="G268" s="13"/>
      <c r="H268" s="51" t="s">
        <v>9</v>
      </c>
      <c r="I268" s="29" t="s">
        <v>104</v>
      </c>
    </row>
    <row r="269" spans="1:9" ht="18" x14ac:dyDescent="0.3">
      <c r="A269" s="21" t="s">
        <v>109</v>
      </c>
      <c r="B269" s="52"/>
      <c r="C269" s="54" t="s">
        <v>110</v>
      </c>
      <c r="D269" s="11">
        <v>618</v>
      </c>
      <c r="E269" s="11">
        <f t="shared" si="89"/>
        <v>428.58299999999997</v>
      </c>
      <c r="F269" s="13">
        <f t="shared" si="90"/>
        <v>510</v>
      </c>
      <c r="G269" s="13"/>
      <c r="H269" s="51" t="s">
        <v>9</v>
      </c>
      <c r="I269" s="29" t="s">
        <v>104</v>
      </c>
    </row>
    <row r="270" spans="1:9" ht="18" x14ac:dyDescent="0.3">
      <c r="A270" s="21" t="s">
        <v>115</v>
      </c>
      <c r="B270" s="52"/>
      <c r="C270" s="54" t="s">
        <v>116</v>
      </c>
      <c r="D270" s="11">
        <v>618</v>
      </c>
      <c r="E270" s="11">
        <f t="shared" si="89"/>
        <v>428.58299999999997</v>
      </c>
      <c r="F270" s="13">
        <f t="shared" si="90"/>
        <v>510</v>
      </c>
      <c r="G270" s="13"/>
      <c r="H270" s="51" t="s">
        <v>9</v>
      </c>
      <c r="I270" s="29" t="s">
        <v>104</v>
      </c>
    </row>
    <row r="271" spans="1:9" ht="18" x14ac:dyDescent="0.3">
      <c r="A271" s="21" t="s">
        <v>111</v>
      </c>
      <c r="B271" s="43"/>
      <c r="C271" s="54" t="s">
        <v>112</v>
      </c>
      <c r="D271" s="11">
        <v>618</v>
      </c>
      <c r="E271" s="11">
        <f t="shared" si="89"/>
        <v>428.58299999999997</v>
      </c>
      <c r="F271" s="13">
        <f t="shared" si="90"/>
        <v>510</v>
      </c>
      <c r="G271" s="13"/>
      <c r="H271" s="51" t="s">
        <v>9</v>
      </c>
      <c r="I271" s="29" t="s">
        <v>104</v>
      </c>
    </row>
    <row r="272" spans="1:9" ht="18" x14ac:dyDescent="0.3">
      <c r="A272" s="21" t="s">
        <v>400</v>
      </c>
      <c r="B272" s="43"/>
      <c r="C272" s="54" t="s">
        <v>401</v>
      </c>
      <c r="D272" s="11">
        <v>754</v>
      </c>
      <c r="E272" s="11">
        <f t="shared" si="89"/>
        <v>522.89899999999989</v>
      </c>
      <c r="F272" s="13">
        <f t="shared" si="90"/>
        <v>620</v>
      </c>
      <c r="G272" s="13"/>
      <c r="H272" s="51" t="s">
        <v>9</v>
      </c>
      <c r="I272" s="29" t="s">
        <v>104</v>
      </c>
    </row>
    <row r="273" spans="1:9" ht="18" x14ac:dyDescent="0.3">
      <c r="A273" s="8" t="s">
        <v>402</v>
      </c>
      <c r="B273" s="9" t="s">
        <v>1187</v>
      </c>
      <c r="C273" s="10" t="s">
        <v>1164</v>
      </c>
      <c r="D273" s="11">
        <v>33111</v>
      </c>
      <c r="E273" s="12">
        <f>D273*0.73*0.95*0.97</f>
        <v>22273.604144999998</v>
      </c>
      <c r="F273" s="13">
        <f t="shared" ref="F273:F276" si="91">ROUNDUP((E273*1.15),-1)</f>
        <v>25620</v>
      </c>
      <c r="G273" s="13">
        <v>680</v>
      </c>
      <c r="H273" s="21" t="s">
        <v>9</v>
      </c>
      <c r="I273" s="55" t="s">
        <v>403</v>
      </c>
    </row>
    <row r="274" spans="1:9" ht="18" x14ac:dyDescent="0.3">
      <c r="A274" s="8" t="s">
        <v>404</v>
      </c>
      <c r="B274" s="9" t="s">
        <v>1187</v>
      </c>
      <c r="C274" s="10" t="s">
        <v>1165</v>
      </c>
      <c r="D274" s="11">
        <v>36881</v>
      </c>
      <c r="E274" s="12">
        <f t="shared" ref="E274:E276" si="92">D274*0.73*0.95*0.97</f>
        <v>24809.664294999999</v>
      </c>
      <c r="F274" s="13">
        <f t="shared" si="91"/>
        <v>28540</v>
      </c>
      <c r="G274" s="13">
        <v>680</v>
      </c>
      <c r="H274" s="21" t="s">
        <v>9</v>
      </c>
      <c r="I274" s="55" t="s">
        <v>403</v>
      </c>
    </row>
    <row r="275" spans="1:9" ht="18" x14ac:dyDescent="0.3">
      <c r="A275" s="8" t="s">
        <v>405</v>
      </c>
      <c r="B275" s="15" t="s">
        <v>14</v>
      </c>
      <c r="C275" s="10" t="s">
        <v>406</v>
      </c>
      <c r="D275" s="11">
        <v>37797</v>
      </c>
      <c r="E275" s="12">
        <f t="shared" si="92"/>
        <v>25425.852914999996</v>
      </c>
      <c r="F275" s="13">
        <f t="shared" si="91"/>
        <v>29240</v>
      </c>
      <c r="G275" s="13">
        <v>680</v>
      </c>
      <c r="H275" s="21" t="s">
        <v>9</v>
      </c>
      <c r="I275" s="55" t="s">
        <v>403</v>
      </c>
    </row>
    <row r="276" spans="1:9" ht="18" x14ac:dyDescent="0.3">
      <c r="A276" s="8" t="s">
        <v>407</v>
      </c>
      <c r="B276" s="15" t="s">
        <v>14</v>
      </c>
      <c r="C276" s="10" t="s">
        <v>1186</v>
      </c>
      <c r="D276" s="11">
        <v>39044</v>
      </c>
      <c r="E276" s="12">
        <f t="shared" si="92"/>
        <v>26264.703579999998</v>
      </c>
      <c r="F276" s="13">
        <f t="shared" si="91"/>
        <v>30210</v>
      </c>
      <c r="G276" s="13">
        <v>680</v>
      </c>
      <c r="H276" s="21" t="s">
        <v>9</v>
      </c>
      <c r="I276" s="55" t="s">
        <v>403</v>
      </c>
    </row>
    <row r="277" spans="1:9" ht="18" x14ac:dyDescent="0.3">
      <c r="A277" s="21" t="s">
        <v>408</v>
      </c>
      <c r="B277" s="22"/>
      <c r="C277" s="18" t="s">
        <v>317</v>
      </c>
      <c r="D277" s="11">
        <v>365</v>
      </c>
      <c r="E277" s="11">
        <f t="shared" ref="E277:E282" si="93">D277*0.73*0.95</f>
        <v>253.12749999999997</v>
      </c>
      <c r="F277" s="13">
        <f t="shared" ref="F277:F282" si="94">ROUNDUP((E277*1.18),-1)</f>
        <v>300</v>
      </c>
      <c r="G277" s="13"/>
      <c r="H277" s="21" t="s">
        <v>9</v>
      </c>
      <c r="I277" s="23" t="s">
        <v>61</v>
      </c>
    </row>
    <row r="278" spans="1:9" ht="18" x14ac:dyDescent="0.3">
      <c r="A278" s="21" t="s">
        <v>100</v>
      </c>
      <c r="B278" s="24"/>
      <c r="C278" s="18" t="s">
        <v>101</v>
      </c>
      <c r="D278" s="11">
        <v>124</v>
      </c>
      <c r="E278" s="11">
        <f t="shared" si="93"/>
        <v>85.993999999999986</v>
      </c>
      <c r="F278" s="13">
        <f t="shared" si="94"/>
        <v>110</v>
      </c>
      <c r="G278" s="13"/>
      <c r="H278" s="21" t="s">
        <v>9</v>
      </c>
      <c r="I278" s="23" t="s">
        <v>61</v>
      </c>
    </row>
    <row r="279" spans="1:9" ht="18" x14ac:dyDescent="0.3">
      <c r="A279" s="21" t="s">
        <v>96</v>
      </c>
      <c r="B279" s="16"/>
      <c r="C279" s="18" t="s">
        <v>97</v>
      </c>
      <c r="D279" s="11">
        <v>65</v>
      </c>
      <c r="E279" s="11">
        <f t="shared" si="93"/>
        <v>45.077499999999993</v>
      </c>
      <c r="F279" s="13">
        <f t="shared" si="94"/>
        <v>60</v>
      </c>
      <c r="G279" s="13"/>
      <c r="H279" s="21" t="s">
        <v>9</v>
      </c>
      <c r="I279" s="23" t="s">
        <v>61</v>
      </c>
    </row>
    <row r="280" spans="1:9" ht="18" x14ac:dyDescent="0.3">
      <c r="A280" s="21" t="s">
        <v>409</v>
      </c>
      <c r="B280" s="16"/>
      <c r="C280" s="18" t="s">
        <v>410</v>
      </c>
      <c r="D280" s="11">
        <v>488</v>
      </c>
      <c r="E280" s="11">
        <f t="shared" si="93"/>
        <v>338.428</v>
      </c>
      <c r="F280" s="13">
        <f t="shared" si="94"/>
        <v>400</v>
      </c>
      <c r="G280" s="13"/>
      <c r="H280" s="8" t="s">
        <v>9</v>
      </c>
      <c r="I280" s="23" t="s">
        <v>61</v>
      </c>
    </row>
    <row r="281" spans="1:9" ht="18" x14ac:dyDescent="0.3">
      <c r="A281" s="21" t="s">
        <v>411</v>
      </c>
      <c r="B281" s="16"/>
      <c r="C281" s="18" t="s">
        <v>412</v>
      </c>
      <c r="D281" s="11">
        <v>836</v>
      </c>
      <c r="E281" s="11">
        <f t="shared" si="93"/>
        <v>579.76599999999996</v>
      </c>
      <c r="F281" s="13">
        <f t="shared" si="94"/>
        <v>690</v>
      </c>
      <c r="G281" s="13"/>
      <c r="H281" s="8" t="s">
        <v>9</v>
      </c>
      <c r="I281" s="23" t="s">
        <v>61</v>
      </c>
    </row>
    <row r="282" spans="1:9" ht="18" x14ac:dyDescent="0.3">
      <c r="A282" s="21" t="s">
        <v>78</v>
      </c>
      <c r="B282" s="56"/>
      <c r="C282" s="18" t="s">
        <v>79</v>
      </c>
      <c r="D282" s="11">
        <v>215</v>
      </c>
      <c r="E282" s="11">
        <f t="shared" si="93"/>
        <v>149.10249999999999</v>
      </c>
      <c r="F282" s="13">
        <f t="shared" si="94"/>
        <v>180</v>
      </c>
      <c r="G282" s="13"/>
      <c r="H282" s="8" t="s">
        <v>9</v>
      </c>
      <c r="I282" s="23" t="s">
        <v>61</v>
      </c>
    </row>
    <row r="283" spans="1:9" ht="18" x14ac:dyDescent="0.3">
      <c r="A283" s="30" t="s">
        <v>109</v>
      </c>
      <c r="B283" s="56"/>
      <c r="C283" s="32" t="s">
        <v>110</v>
      </c>
      <c r="D283" s="11">
        <v>618</v>
      </c>
      <c r="E283" s="11">
        <f t="shared" ref="E283:E286" si="95">D283*0.73*0.95</f>
        <v>428.58299999999997</v>
      </c>
      <c r="F283" s="13">
        <f t="shared" ref="F283:F286" si="96">ROUNDUP((E283*1.18),-1)</f>
        <v>510</v>
      </c>
      <c r="G283" s="13"/>
      <c r="H283" s="30" t="s">
        <v>9</v>
      </c>
      <c r="I283" s="29" t="s">
        <v>104</v>
      </c>
    </row>
    <row r="284" spans="1:9" ht="18" x14ac:dyDescent="0.3">
      <c r="A284" s="30" t="s">
        <v>111</v>
      </c>
      <c r="B284" s="31"/>
      <c r="C284" s="32" t="s">
        <v>112</v>
      </c>
      <c r="D284" s="11">
        <v>618</v>
      </c>
      <c r="E284" s="11">
        <f t="shared" si="95"/>
        <v>428.58299999999997</v>
      </c>
      <c r="F284" s="13">
        <f t="shared" si="96"/>
        <v>510</v>
      </c>
      <c r="G284" s="13"/>
      <c r="H284" s="30" t="s">
        <v>9</v>
      </c>
      <c r="I284" s="29" t="s">
        <v>104</v>
      </c>
    </row>
    <row r="285" spans="1:9" ht="18" x14ac:dyDescent="0.3">
      <c r="A285" s="30" t="s">
        <v>113</v>
      </c>
      <c r="B285" s="31"/>
      <c r="C285" s="32" t="s">
        <v>114</v>
      </c>
      <c r="D285" s="11">
        <v>618</v>
      </c>
      <c r="E285" s="11">
        <f t="shared" si="95"/>
        <v>428.58299999999997</v>
      </c>
      <c r="F285" s="13">
        <f t="shared" si="96"/>
        <v>510</v>
      </c>
      <c r="G285" s="13"/>
      <c r="H285" s="30" t="s">
        <v>9</v>
      </c>
      <c r="I285" s="29" t="s">
        <v>104</v>
      </c>
    </row>
    <row r="286" spans="1:9" ht="18" x14ac:dyDescent="0.3">
      <c r="A286" s="30" t="s">
        <v>115</v>
      </c>
      <c r="B286" s="31"/>
      <c r="C286" s="32" t="s">
        <v>116</v>
      </c>
      <c r="D286" s="11">
        <v>618</v>
      </c>
      <c r="E286" s="11">
        <f t="shared" si="95"/>
        <v>428.58299999999997</v>
      </c>
      <c r="F286" s="13">
        <f t="shared" si="96"/>
        <v>510</v>
      </c>
      <c r="G286" s="13"/>
      <c r="H286" s="30" t="s">
        <v>9</v>
      </c>
      <c r="I286" s="29" t="s">
        <v>104</v>
      </c>
    </row>
    <row r="287" spans="1:9" ht="18" x14ac:dyDescent="0.3">
      <c r="A287" s="30" t="s">
        <v>413</v>
      </c>
      <c r="B287" s="46" t="s">
        <v>1187</v>
      </c>
      <c r="C287" s="10" t="s">
        <v>1166</v>
      </c>
      <c r="D287" s="11">
        <v>13576</v>
      </c>
      <c r="E287" s="12">
        <f t="shared" ref="E287:E288" si="97">D287*0.73*0.95*0.97</f>
        <v>9132.5073199999988</v>
      </c>
      <c r="F287" s="13">
        <f t="shared" ref="F287:F288" si="98">ROUNDUP((E287*1.15),-1)</f>
        <v>10510</v>
      </c>
      <c r="G287" s="13">
        <v>470</v>
      </c>
      <c r="H287" s="21" t="s">
        <v>9</v>
      </c>
      <c r="I287" s="57" t="s">
        <v>414</v>
      </c>
    </row>
    <row r="288" spans="1:9" ht="18" x14ac:dyDescent="0.3">
      <c r="A288" s="30" t="s">
        <v>415</v>
      </c>
      <c r="B288" s="46" t="s">
        <v>1187</v>
      </c>
      <c r="C288" s="10" t="s">
        <v>1167</v>
      </c>
      <c r="D288" s="11">
        <v>14823</v>
      </c>
      <c r="E288" s="12">
        <f t="shared" si="97"/>
        <v>9971.3579849999987</v>
      </c>
      <c r="F288" s="13">
        <f t="shared" si="98"/>
        <v>11470</v>
      </c>
      <c r="G288" s="13">
        <v>470</v>
      </c>
      <c r="H288" s="21" t="s">
        <v>9</v>
      </c>
      <c r="I288" s="57" t="s">
        <v>414</v>
      </c>
    </row>
    <row r="289" spans="1:9" ht="18" x14ac:dyDescent="0.3">
      <c r="A289" s="51" t="s">
        <v>398</v>
      </c>
      <c r="B289" s="51"/>
      <c r="C289" s="53" t="s">
        <v>399</v>
      </c>
      <c r="D289" s="11">
        <v>236</v>
      </c>
      <c r="E289" s="11">
        <f>D289*0.73*0.95</f>
        <v>163.666</v>
      </c>
      <c r="F289" s="13">
        <f>ROUNDUP((E289*1.18),-1)</f>
        <v>200</v>
      </c>
      <c r="G289" s="13"/>
      <c r="H289" s="51" t="s">
        <v>9</v>
      </c>
      <c r="I289" s="29" t="s">
        <v>104</v>
      </c>
    </row>
    <row r="290" spans="1:9" ht="18" x14ac:dyDescent="0.3">
      <c r="A290" s="30" t="s">
        <v>417</v>
      </c>
      <c r="B290" s="30"/>
      <c r="C290" s="28" t="s">
        <v>416</v>
      </c>
      <c r="D290" s="11">
        <v>193</v>
      </c>
      <c r="E290" s="11">
        <f>D290*0.73*0.95</f>
        <v>133.84549999999999</v>
      </c>
      <c r="F290" s="13">
        <f>ROUNDUP((E290*1.18),-1)</f>
        <v>160</v>
      </c>
      <c r="G290" s="13"/>
      <c r="H290" s="26" t="s">
        <v>9</v>
      </c>
      <c r="I290" s="23" t="s">
        <v>61</v>
      </c>
    </row>
    <row r="291" spans="1:9" ht="18" x14ac:dyDescent="0.3">
      <c r="A291" s="21" t="s">
        <v>418</v>
      </c>
      <c r="B291" s="21"/>
      <c r="C291" s="18" t="s">
        <v>419</v>
      </c>
      <c r="D291" s="11">
        <v>860</v>
      </c>
      <c r="E291" s="11">
        <f>D291*0.73*0.95*0.96</f>
        <v>572.55359999999996</v>
      </c>
      <c r="F291" s="13">
        <f>ROUNDUP((E291*1.25),-1)</f>
        <v>720</v>
      </c>
      <c r="G291" s="13">
        <v>315</v>
      </c>
      <c r="H291" s="21" t="s">
        <v>9</v>
      </c>
      <c r="I291" s="58" t="s">
        <v>420</v>
      </c>
    </row>
    <row r="292" spans="1:9" ht="18" x14ac:dyDescent="0.3">
      <c r="A292" s="21" t="s">
        <v>421</v>
      </c>
      <c r="B292" s="21"/>
      <c r="C292" s="18" t="s">
        <v>422</v>
      </c>
      <c r="D292" s="11">
        <v>1002</v>
      </c>
      <c r="E292" s="11">
        <f t="shared" ref="E292:E296" si="99">D292*0.73*0.95*0.96</f>
        <v>667.09152000000006</v>
      </c>
      <c r="F292" s="13">
        <f t="shared" ref="F292:F296" si="100">ROUNDUP((E292*1.25),-1)</f>
        <v>840</v>
      </c>
      <c r="G292" s="13">
        <v>315</v>
      </c>
      <c r="H292" s="21" t="s">
        <v>9</v>
      </c>
      <c r="I292" s="58" t="s">
        <v>420</v>
      </c>
    </row>
    <row r="293" spans="1:9" ht="18" x14ac:dyDescent="0.3">
      <c r="A293" s="21" t="s">
        <v>423</v>
      </c>
      <c r="B293" s="21"/>
      <c r="C293" s="18" t="s">
        <v>424</v>
      </c>
      <c r="D293" s="11">
        <v>1086</v>
      </c>
      <c r="E293" s="11">
        <f t="shared" si="99"/>
        <v>723.01535999999999</v>
      </c>
      <c r="F293" s="13">
        <f t="shared" si="100"/>
        <v>910</v>
      </c>
      <c r="G293" s="13">
        <v>315</v>
      </c>
      <c r="H293" s="21" t="s">
        <v>9</v>
      </c>
      <c r="I293" s="58" t="s">
        <v>420</v>
      </c>
    </row>
    <row r="294" spans="1:9" ht="18" x14ac:dyDescent="0.3">
      <c r="A294" s="21" t="s">
        <v>425</v>
      </c>
      <c r="B294" s="21"/>
      <c r="C294" s="18" t="s">
        <v>426</v>
      </c>
      <c r="D294" s="11">
        <v>1475</v>
      </c>
      <c r="E294" s="11">
        <f t="shared" si="99"/>
        <v>981.99599999999987</v>
      </c>
      <c r="F294" s="13">
        <f t="shared" si="100"/>
        <v>1230</v>
      </c>
      <c r="G294" s="13">
        <v>315</v>
      </c>
      <c r="H294" s="21" t="s">
        <v>9</v>
      </c>
      <c r="I294" s="58" t="s">
        <v>420</v>
      </c>
    </row>
    <row r="295" spans="1:9" ht="18" x14ac:dyDescent="0.3">
      <c r="A295" s="21" t="s">
        <v>427</v>
      </c>
      <c r="B295" s="21"/>
      <c r="C295" s="18" t="s">
        <v>428</v>
      </c>
      <c r="D295" s="11">
        <v>1109</v>
      </c>
      <c r="E295" s="11">
        <f t="shared" si="99"/>
        <v>738.32783999999981</v>
      </c>
      <c r="F295" s="13">
        <f t="shared" si="100"/>
        <v>930</v>
      </c>
      <c r="G295" s="13">
        <v>315</v>
      </c>
      <c r="H295" s="21" t="s">
        <v>9</v>
      </c>
      <c r="I295" s="58" t="s">
        <v>420</v>
      </c>
    </row>
    <row r="296" spans="1:9" ht="18" x14ac:dyDescent="0.3">
      <c r="A296" s="21" t="s">
        <v>429</v>
      </c>
      <c r="B296" s="21"/>
      <c r="C296" s="18" t="s">
        <v>430</v>
      </c>
      <c r="D296" s="11">
        <v>1214</v>
      </c>
      <c r="E296" s="11">
        <f t="shared" si="99"/>
        <v>808.23263999999995</v>
      </c>
      <c r="F296" s="13">
        <f t="shared" si="100"/>
        <v>1020</v>
      </c>
      <c r="G296" s="13">
        <v>315</v>
      </c>
      <c r="H296" s="21" t="s">
        <v>9</v>
      </c>
      <c r="I296" s="58" t="s">
        <v>420</v>
      </c>
    </row>
    <row r="297" spans="1:9" ht="18" x14ac:dyDescent="0.3">
      <c r="A297" s="21" t="s">
        <v>431</v>
      </c>
      <c r="B297" s="21"/>
      <c r="C297" s="18" t="s">
        <v>432</v>
      </c>
      <c r="D297" s="11">
        <v>183</v>
      </c>
      <c r="E297" s="11">
        <f t="shared" ref="E297:E303" si="101">D297*0.73*0.95</f>
        <v>126.9105</v>
      </c>
      <c r="F297" s="13">
        <f t="shared" ref="F297:F303" si="102">ROUNDUP((E297*1.18),-1)</f>
        <v>150</v>
      </c>
      <c r="G297" s="13"/>
      <c r="H297" s="21" t="s">
        <v>9</v>
      </c>
      <c r="I297" s="23" t="s">
        <v>61</v>
      </c>
    </row>
    <row r="298" spans="1:9" ht="18" x14ac:dyDescent="0.3">
      <c r="A298" s="21" t="s">
        <v>433</v>
      </c>
      <c r="B298" s="21"/>
      <c r="C298" s="18" t="s">
        <v>434</v>
      </c>
      <c r="D298" s="11">
        <v>435</v>
      </c>
      <c r="E298" s="11">
        <f t="shared" si="101"/>
        <v>301.67250000000001</v>
      </c>
      <c r="F298" s="13">
        <f t="shared" si="102"/>
        <v>360</v>
      </c>
      <c r="G298" s="13"/>
      <c r="H298" s="21" t="s">
        <v>9</v>
      </c>
      <c r="I298" s="23" t="s">
        <v>61</v>
      </c>
    </row>
    <row r="299" spans="1:9" ht="18" x14ac:dyDescent="0.3">
      <c r="A299" s="59" t="s">
        <v>435</v>
      </c>
      <c r="B299" s="59"/>
      <c r="C299" s="60" t="s">
        <v>436</v>
      </c>
      <c r="D299" s="11">
        <v>490</v>
      </c>
      <c r="E299" s="11">
        <f t="shared" si="101"/>
        <v>339.815</v>
      </c>
      <c r="F299" s="13">
        <f t="shared" si="102"/>
        <v>410</v>
      </c>
      <c r="G299" s="13"/>
      <c r="H299" s="21" t="s">
        <v>9</v>
      </c>
      <c r="I299" s="23" t="s">
        <v>61</v>
      </c>
    </row>
    <row r="300" spans="1:9" ht="18" x14ac:dyDescent="0.3">
      <c r="A300" s="61" t="s">
        <v>437</v>
      </c>
      <c r="B300" s="61"/>
      <c r="C300" s="62" t="s">
        <v>438</v>
      </c>
      <c r="D300" s="11">
        <v>2517</v>
      </c>
      <c r="E300" s="11">
        <f t="shared" si="101"/>
        <v>1745.5394999999999</v>
      </c>
      <c r="F300" s="13">
        <f t="shared" si="102"/>
        <v>2060</v>
      </c>
      <c r="G300" s="13"/>
      <c r="H300" s="21" t="s">
        <v>9</v>
      </c>
      <c r="I300" s="58" t="s">
        <v>420</v>
      </c>
    </row>
    <row r="301" spans="1:9" ht="18" x14ac:dyDescent="0.3">
      <c r="A301" s="61" t="s">
        <v>439</v>
      </c>
      <c r="B301" s="61"/>
      <c r="C301" s="62" t="s">
        <v>440</v>
      </c>
      <c r="D301" s="11">
        <v>2565</v>
      </c>
      <c r="E301" s="11">
        <f t="shared" si="101"/>
        <v>1778.8274999999999</v>
      </c>
      <c r="F301" s="13">
        <f t="shared" si="102"/>
        <v>2100</v>
      </c>
      <c r="G301" s="13"/>
      <c r="H301" s="21" t="s">
        <v>9</v>
      </c>
      <c r="I301" s="58" t="s">
        <v>420</v>
      </c>
    </row>
    <row r="302" spans="1:9" ht="18" x14ac:dyDescent="0.3">
      <c r="A302" s="61" t="s">
        <v>441</v>
      </c>
      <c r="B302" s="61"/>
      <c r="C302" s="62" t="s">
        <v>442</v>
      </c>
      <c r="D302" s="11">
        <v>2725</v>
      </c>
      <c r="E302" s="11">
        <f t="shared" si="101"/>
        <v>1889.7874999999999</v>
      </c>
      <c r="F302" s="13">
        <f t="shared" si="102"/>
        <v>2230</v>
      </c>
      <c r="G302" s="13"/>
      <c r="H302" s="21" t="s">
        <v>9</v>
      </c>
      <c r="I302" s="58" t="s">
        <v>420</v>
      </c>
    </row>
    <row r="303" spans="1:9" ht="18" x14ac:dyDescent="0.3">
      <c r="A303" s="61" t="s">
        <v>443</v>
      </c>
      <c r="B303" s="61"/>
      <c r="C303" s="62" t="s">
        <v>444</v>
      </c>
      <c r="D303" s="11">
        <v>2944</v>
      </c>
      <c r="E303" s="11">
        <f t="shared" si="101"/>
        <v>2041.6639999999998</v>
      </c>
      <c r="F303" s="13">
        <f t="shared" si="102"/>
        <v>2410</v>
      </c>
      <c r="G303" s="13"/>
      <c r="H303" s="21" t="s">
        <v>9</v>
      </c>
      <c r="I303" s="58" t="s">
        <v>420</v>
      </c>
    </row>
    <row r="304" spans="1:9" ht="18" x14ac:dyDescent="0.3">
      <c r="A304" s="21" t="s">
        <v>445</v>
      </c>
      <c r="B304" s="21"/>
      <c r="C304" s="18" t="s">
        <v>446</v>
      </c>
      <c r="D304" s="11">
        <v>2707</v>
      </c>
      <c r="E304" s="11">
        <f t="shared" ref="E304:E307" si="103">D304*0.73*0.95*0.96</f>
        <v>1802.2123199999996</v>
      </c>
      <c r="F304" s="13">
        <f t="shared" ref="F304:F307" si="104">ROUNDUP((E304*1.25),-1)</f>
        <v>2260</v>
      </c>
      <c r="G304" s="13">
        <v>315</v>
      </c>
      <c r="H304" s="21" t="s">
        <v>9</v>
      </c>
      <c r="I304" s="58" t="s">
        <v>420</v>
      </c>
    </row>
    <row r="305" spans="1:9" ht="18" x14ac:dyDescent="0.3">
      <c r="A305" s="21" t="s">
        <v>447</v>
      </c>
      <c r="B305" s="21"/>
      <c r="C305" s="18" t="s">
        <v>448</v>
      </c>
      <c r="D305" s="11">
        <v>2761</v>
      </c>
      <c r="E305" s="11">
        <f t="shared" si="103"/>
        <v>1838.1633599999998</v>
      </c>
      <c r="F305" s="13">
        <f t="shared" si="104"/>
        <v>2300</v>
      </c>
      <c r="G305" s="13">
        <v>315</v>
      </c>
      <c r="H305" s="21" t="s">
        <v>9</v>
      </c>
      <c r="I305" s="58" t="s">
        <v>420</v>
      </c>
    </row>
    <row r="306" spans="1:9" ht="18" x14ac:dyDescent="0.3">
      <c r="A306" s="21" t="s">
        <v>449</v>
      </c>
      <c r="B306" s="21"/>
      <c r="C306" s="18" t="s">
        <v>450</v>
      </c>
      <c r="D306" s="11">
        <v>2874</v>
      </c>
      <c r="E306" s="11">
        <f t="shared" si="103"/>
        <v>1913.3942399999999</v>
      </c>
      <c r="F306" s="13">
        <f t="shared" si="104"/>
        <v>2400</v>
      </c>
      <c r="G306" s="13">
        <v>315</v>
      </c>
      <c r="H306" s="21" t="s">
        <v>9</v>
      </c>
      <c r="I306" s="58" t="s">
        <v>420</v>
      </c>
    </row>
    <row r="307" spans="1:9" ht="18" x14ac:dyDescent="0.3">
      <c r="A307" s="21" t="s">
        <v>451</v>
      </c>
      <c r="B307" s="21"/>
      <c r="C307" s="18" t="s">
        <v>452</v>
      </c>
      <c r="D307" s="11">
        <v>3099</v>
      </c>
      <c r="E307" s="11">
        <f t="shared" si="103"/>
        <v>2063.1902399999999</v>
      </c>
      <c r="F307" s="13">
        <f t="shared" si="104"/>
        <v>2580</v>
      </c>
      <c r="G307" s="13">
        <v>315</v>
      </c>
      <c r="H307" s="21" t="s">
        <v>9</v>
      </c>
      <c r="I307" s="58" t="s">
        <v>420</v>
      </c>
    </row>
    <row r="308" spans="1:9" ht="18" x14ac:dyDescent="0.3">
      <c r="A308" s="21" t="s">
        <v>453</v>
      </c>
      <c r="B308" s="21"/>
      <c r="C308" s="18" t="s">
        <v>454</v>
      </c>
      <c r="D308" s="11">
        <v>1328</v>
      </c>
      <c r="E308" s="11">
        <f t="shared" ref="E308:E309" si="105">D308*0.73*0.95*0.96</f>
        <v>884.12927999999977</v>
      </c>
      <c r="F308" s="13">
        <f t="shared" ref="F308:F309" si="106">ROUNDUP((E308*1.25),-1)</f>
        <v>1110</v>
      </c>
      <c r="G308" s="13">
        <v>315</v>
      </c>
      <c r="H308" s="21" t="s">
        <v>9</v>
      </c>
      <c r="I308" s="58" t="s">
        <v>420</v>
      </c>
    </row>
    <row r="309" spans="1:9" ht="18" x14ac:dyDescent="0.3">
      <c r="A309" s="21" t="s">
        <v>455</v>
      </c>
      <c r="B309" s="21"/>
      <c r="C309" s="18" t="s">
        <v>456</v>
      </c>
      <c r="D309" s="11">
        <v>1578</v>
      </c>
      <c r="E309" s="11">
        <f t="shared" si="105"/>
        <v>1050.5692799999999</v>
      </c>
      <c r="F309" s="13">
        <f t="shared" si="106"/>
        <v>1320</v>
      </c>
      <c r="G309" s="13">
        <v>315</v>
      </c>
      <c r="H309" s="21" t="s">
        <v>9</v>
      </c>
      <c r="I309" s="58" t="s">
        <v>420</v>
      </c>
    </row>
    <row r="310" spans="1:9" ht="18" x14ac:dyDescent="0.3">
      <c r="A310" s="21" t="s">
        <v>431</v>
      </c>
      <c r="B310" s="21"/>
      <c r="C310" s="18" t="s">
        <v>432</v>
      </c>
      <c r="D310" s="11">
        <v>183</v>
      </c>
      <c r="E310" s="11">
        <f>D310*0.73*0.95</f>
        <v>126.9105</v>
      </c>
      <c r="F310" s="13">
        <f>ROUNDUP((E310*1.18),-1)</f>
        <v>150</v>
      </c>
      <c r="G310" s="13"/>
      <c r="H310" s="21" t="s">
        <v>9</v>
      </c>
      <c r="I310" s="23" t="s">
        <v>61</v>
      </c>
    </row>
    <row r="311" spans="1:9" ht="18" x14ac:dyDescent="0.3">
      <c r="A311" s="21" t="s">
        <v>457</v>
      </c>
      <c r="B311" s="21"/>
      <c r="C311" s="18" t="s">
        <v>458</v>
      </c>
      <c r="D311" s="11">
        <v>393</v>
      </c>
      <c r="E311" s="11">
        <f t="shared" ref="E311:E312" si="107">D311*0.73*0.95*0.96</f>
        <v>261.64367999999996</v>
      </c>
      <c r="F311" s="13">
        <f t="shared" ref="F311:F312" si="108">ROUNDUP((E311*1.25),-1)</f>
        <v>330</v>
      </c>
      <c r="G311" s="13">
        <v>315</v>
      </c>
      <c r="H311" s="21" t="s">
        <v>9</v>
      </c>
      <c r="I311" s="58" t="s">
        <v>420</v>
      </c>
    </row>
    <row r="312" spans="1:9" ht="18" x14ac:dyDescent="0.3">
      <c r="A312" s="21" t="s">
        <v>459</v>
      </c>
      <c r="B312" s="21"/>
      <c r="C312" s="18" t="s">
        <v>460</v>
      </c>
      <c r="D312" s="11">
        <v>498</v>
      </c>
      <c r="E312" s="11">
        <f t="shared" si="107"/>
        <v>331.54847999999993</v>
      </c>
      <c r="F312" s="13">
        <f t="shared" si="108"/>
        <v>420</v>
      </c>
      <c r="G312" s="13">
        <v>315</v>
      </c>
      <c r="H312" s="21" t="s">
        <v>9</v>
      </c>
      <c r="I312" s="58" t="s">
        <v>420</v>
      </c>
    </row>
    <row r="313" spans="1:9" ht="18" x14ac:dyDescent="0.3">
      <c r="A313" s="21" t="s">
        <v>461</v>
      </c>
      <c r="B313" s="21"/>
      <c r="C313" s="18" t="s">
        <v>462</v>
      </c>
      <c r="D313" s="11">
        <v>3698</v>
      </c>
      <c r="E313" s="11">
        <f>D313*0.73*0.95*0.96</f>
        <v>2461.9804799999997</v>
      </c>
      <c r="F313" s="13">
        <f>ROUNDUP((E313*1.25),-1)</f>
        <v>3080</v>
      </c>
      <c r="G313" s="13">
        <v>315</v>
      </c>
      <c r="H313" s="21" t="s">
        <v>9</v>
      </c>
      <c r="I313" s="58" t="s">
        <v>420</v>
      </c>
    </row>
    <row r="314" spans="1:9" ht="18" x14ac:dyDescent="0.3">
      <c r="A314" s="21" t="s">
        <v>463</v>
      </c>
      <c r="B314" s="21"/>
      <c r="C314" s="18" t="s">
        <v>464</v>
      </c>
      <c r="D314" s="11">
        <v>802</v>
      </c>
      <c r="E314" s="11">
        <f>D314*0.73*0.95</f>
        <v>556.18700000000001</v>
      </c>
      <c r="F314" s="13">
        <f>ROUNDUP((E314*1.18),-1)</f>
        <v>660</v>
      </c>
      <c r="G314" s="13"/>
      <c r="H314" s="21" t="s">
        <v>9</v>
      </c>
      <c r="I314" s="23" t="s">
        <v>61</v>
      </c>
    </row>
    <row r="315" spans="1:9" ht="18" x14ac:dyDescent="0.3">
      <c r="A315" s="21" t="s">
        <v>465</v>
      </c>
      <c r="B315" s="21"/>
      <c r="C315" s="18" t="s">
        <v>466</v>
      </c>
      <c r="D315" s="11">
        <v>2008</v>
      </c>
      <c r="E315" s="11">
        <f t="shared" ref="E315:E321" si="109">D315*0.73*0.95*0.96</f>
        <v>1336.8460799999998</v>
      </c>
      <c r="F315" s="13">
        <f t="shared" ref="F315:F321" si="110">ROUNDUP((E315*1.25),-1)</f>
        <v>1680</v>
      </c>
      <c r="G315" s="13">
        <v>315</v>
      </c>
      <c r="H315" s="21" t="s">
        <v>9</v>
      </c>
      <c r="I315" s="58" t="s">
        <v>420</v>
      </c>
    </row>
    <row r="316" spans="1:9" ht="18" x14ac:dyDescent="0.3">
      <c r="A316" s="21" t="s">
        <v>467</v>
      </c>
      <c r="B316" s="21"/>
      <c r="C316" s="18" t="s">
        <v>468</v>
      </c>
      <c r="D316" s="11">
        <v>2065</v>
      </c>
      <c r="E316" s="11">
        <f t="shared" si="109"/>
        <v>1374.7943999999998</v>
      </c>
      <c r="F316" s="13">
        <f t="shared" si="110"/>
        <v>1720</v>
      </c>
      <c r="G316" s="13">
        <v>315</v>
      </c>
      <c r="H316" s="21" t="s">
        <v>9</v>
      </c>
      <c r="I316" s="58" t="s">
        <v>420</v>
      </c>
    </row>
    <row r="317" spans="1:9" ht="18" x14ac:dyDescent="0.3">
      <c r="A317" s="21" t="s">
        <v>469</v>
      </c>
      <c r="B317" s="21"/>
      <c r="C317" s="18" t="s">
        <v>470</v>
      </c>
      <c r="D317" s="11">
        <v>2178</v>
      </c>
      <c r="E317" s="11">
        <f t="shared" si="109"/>
        <v>1450.0252799999998</v>
      </c>
      <c r="F317" s="13">
        <f t="shared" si="110"/>
        <v>1820</v>
      </c>
      <c r="G317" s="13">
        <v>315</v>
      </c>
      <c r="H317" s="21" t="s">
        <v>9</v>
      </c>
      <c r="I317" s="58" t="s">
        <v>420</v>
      </c>
    </row>
    <row r="318" spans="1:9" ht="18" x14ac:dyDescent="0.3">
      <c r="A318" s="21" t="s">
        <v>471</v>
      </c>
      <c r="B318" s="21"/>
      <c r="C318" s="18" t="s">
        <v>472</v>
      </c>
      <c r="D318" s="11">
        <v>2280</v>
      </c>
      <c r="E318" s="11">
        <f t="shared" si="109"/>
        <v>1517.9327999999998</v>
      </c>
      <c r="F318" s="13">
        <f t="shared" si="110"/>
        <v>1900</v>
      </c>
      <c r="G318" s="13">
        <v>315</v>
      </c>
      <c r="H318" s="21" t="s">
        <v>9</v>
      </c>
      <c r="I318" s="58" t="s">
        <v>420</v>
      </c>
    </row>
    <row r="319" spans="1:9" ht="18" x14ac:dyDescent="0.3">
      <c r="A319" s="21" t="s">
        <v>473</v>
      </c>
      <c r="B319" s="21"/>
      <c r="C319" s="18" t="s">
        <v>474</v>
      </c>
      <c r="D319" s="11">
        <v>2371</v>
      </c>
      <c r="E319" s="11">
        <f t="shared" si="109"/>
        <v>1578.5169599999999</v>
      </c>
      <c r="F319" s="13">
        <f t="shared" si="110"/>
        <v>1980</v>
      </c>
      <c r="G319" s="13">
        <v>315</v>
      </c>
      <c r="H319" s="21" t="s">
        <v>9</v>
      </c>
      <c r="I319" s="58" t="s">
        <v>420</v>
      </c>
    </row>
    <row r="320" spans="1:9" ht="18" x14ac:dyDescent="0.3">
      <c r="A320" s="21" t="s">
        <v>475</v>
      </c>
      <c r="B320" s="21"/>
      <c r="C320" s="18" t="s">
        <v>476</v>
      </c>
      <c r="D320" s="11">
        <v>2507</v>
      </c>
      <c r="E320" s="11">
        <f t="shared" si="109"/>
        <v>1669.0603199999998</v>
      </c>
      <c r="F320" s="13">
        <f t="shared" si="110"/>
        <v>2090</v>
      </c>
      <c r="G320" s="13">
        <v>315</v>
      </c>
      <c r="H320" s="21" t="s">
        <v>9</v>
      </c>
      <c r="I320" s="58" t="s">
        <v>420</v>
      </c>
    </row>
    <row r="321" spans="1:9" ht="18" x14ac:dyDescent="0.3">
      <c r="A321" s="21" t="s">
        <v>477</v>
      </c>
      <c r="B321" s="21"/>
      <c r="C321" s="18" t="s">
        <v>478</v>
      </c>
      <c r="D321" s="11">
        <v>1430</v>
      </c>
      <c r="E321" s="11">
        <f t="shared" si="109"/>
        <v>952.03679999999974</v>
      </c>
      <c r="F321" s="13">
        <f t="shared" si="110"/>
        <v>1200</v>
      </c>
      <c r="G321" s="13">
        <v>315</v>
      </c>
      <c r="H321" s="21" t="s">
        <v>9</v>
      </c>
      <c r="I321" s="58" t="s">
        <v>420</v>
      </c>
    </row>
    <row r="322" spans="1:9" ht="18" x14ac:dyDescent="0.3">
      <c r="A322" s="21" t="s">
        <v>479</v>
      </c>
      <c r="B322" s="21"/>
      <c r="C322" s="18" t="s">
        <v>480</v>
      </c>
      <c r="D322" s="11">
        <v>362</v>
      </c>
      <c r="E322" s="11">
        <f t="shared" ref="E322:E326" si="111">D322*0.73*0.95</f>
        <v>251.04699999999997</v>
      </c>
      <c r="F322" s="13">
        <f t="shared" ref="F322:F326" si="112">ROUNDUP((E322*1.18),-1)</f>
        <v>300</v>
      </c>
      <c r="G322" s="13"/>
      <c r="H322" s="21" t="s">
        <v>9</v>
      </c>
      <c r="I322" s="23" t="s">
        <v>61</v>
      </c>
    </row>
    <row r="323" spans="1:9" ht="18" x14ac:dyDescent="0.3">
      <c r="A323" s="21" t="s">
        <v>481</v>
      </c>
      <c r="B323" s="21"/>
      <c r="C323" s="18" t="s">
        <v>482</v>
      </c>
      <c r="D323" s="11">
        <v>244</v>
      </c>
      <c r="E323" s="11">
        <f t="shared" si="111"/>
        <v>169.214</v>
      </c>
      <c r="F323" s="13">
        <f t="shared" si="112"/>
        <v>200</v>
      </c>
      <c r="G323" s="13"/>
      <c r="H323" s="21" t="s">
        <v>9</v>
      </c>
      <c r="I323" s="23" t="s">
        <v>61</v>
      </c>
    </row>
    <row r="324" spans="1:9" ht="18" x14ac:dyDescent="0.3">
      <c r="A324" s="21" t="s">
        <v>483</v>
      </c>
      <c r="B324" s="21"/>
      <c r="C324" s="18" t="s">
        <v>484</v>
      </c>
      <c r="D324" s="11">
        <v>272</v>
      </c>
      <c r="E324" s="11">
        <f t="shared" si="111"/>
        <v>188.63200000000001</v>
      </c>
      <c r="F324" s="13">
        <f t="shared" si="112"/>
        <v>230</v>
      </c>
      <c r="G324" s="13"/>
      <c r="H324" s="21" t="s">
        <v>9</v>
      </c>
      <c r="I324" s="23" t="s">
        <v>61</v>
      </c>
    </row>
    <row r="325" spans="1:9" ht="18" x14ac:dyDescent="0.3">
      <c r="A325" s="21" t="s">
        <v>485</v>
      </c>
      <c r="B325" s="21"/>
      <c r="C325" s="18" t="s">
        <v>486</v>
      </c>
      <c r="D325" s="11">
        <v>311</v>
      </c>
      <c r="E325" s="11">
        <f t="shared" si="111"/>
        <v>215.67849999999999</v>
      </c>
      <c r="F325" s="13">
        <f t="shared" si="112"/>
        <v>260</v>
      </c>
      <c r="G325" s="13"/>
      <c r="H325" s="21" t="s">
        <v>9</v>
      </c>
      <c r="I325" s="23" t="s">
        <v>61</v>
      </c>
    </row>
    <row r="326" spans="1:9" ht="18" x14ac:dyDescent="0.3">
      <c r="A326" s="21" t="s">
        <v>431</v>
      </c>
      <c r="B326" s="21"/>
      <c r="C326" s="18" t="s">
        <v>432</v>
      </c>
      <c r="D326" s="11">
        <v>183</v>
      </c>
      <c r="E326" s="11">
        <f t="shared" si="111"/>
        <v>126.9105</v>
      </c>
      <c r="F326" s="13">
        <f t="shared" si="112"/>
        <v>150</v>
      </c>
      <c r="G326" s="13"/>
      <c r="H326" s="21" t="s">
        <v>9</v>
      </c>
      <c r="I326" s="23" t="s">
        <v>61</v>
      </c>
    </row>
    <row r="327" spans="1:9" ht="14.4" customHeight="1" x14ac:dyDescent="0.3">
      <c r="A327" s="8" t="s">
        <v>488</v>
      </c>
      <c r="B327" s="8"/>
      <c r="C327" s="10" t="s">
        <v>489</v>
      </c>
      <c r="D327" s="11">
        <v>479</v>
      </c>
      <c r="E327" s="11">
        <f t="shared" ref="E327:E340" si="113">D327*0.73*0.95*0.96</f>
        <v>318.89904000000001</v>
      </c>
      <c r="F327" s="13">
        <f>ROUNDUP((E327*1.25),-1)</f>
        <v>400</v>
      </c>
      <c r="G327" s="13"/>
      <c r="H327" s="8" t="s">
        <v>9</v>
      </c>
      <c r="I327" s="63" t="s">
        <v>487</v>
      </c>
    </row>
    <row r="328" spans="1:9" ht="18" x14ac:dyDescent="0.3">
      <c r="A328" s="8" t="s">
        <v>490</v>
      </c>
      <c r="B328" s="8"/>
      <c r="C328" s="10" t="s">
        <v>491</v>
      </c>
      <c r="D328" s="11">
        <v>488</v>
      </c>
      <c r="E328" s="11">
        <f t="shared" si="113"/>
        <v>324.89087999999998</v>
      </c>
      <c r="F328" s="13">
        <f t="shared" ref="F328:F340" si="114">ROUNDUP((E328*1.25),-1)</f>
        <v>410</v>
      </c>
      <c r="G328" s="13"/>
      <c r="H328" s="8" t="s">
        <v>9</v>
      </c>
      <c r="I328" s="63" t="s">
        <v>487</v>
      </c>
    </row>
    <row r="329" spans="1:9" ht="18" x14ac:dyDescent="0.3">
      <c r="A329" s="8" t="s">
        <v>492</v>
      </c>
      <c r="B329" s="8"/>
      <c r="C329" s="10" t="s">
        <v>493</v>
      </c>
      <c r="D329" s="11">
        <v>542</v>
      </c>
      <c r="E329" s="11">
        <f t="shared" si="113"/>
        <v>360.84191999999996</v>
      </c>
      <c r="F329" s="13">
        <f t="shared" si="114"/>
        <v>460</v>
      </c>
      <c r="G329" s="13"/>
      <c r="H329" s="8" t="s">
        <v>9</v>
      </c>
      <c r="I329" s="63" t="s">
        <v>487</v>
      </c>
    </row>
    <row r="330" spans="1:9" ht="18" x14ac:dyDescent="0.3">
      <c r="A330" s="8" t="s">
        <v>494</v>
      </c>
      <c r="B330" s="8"/>
      <c r="C330" s="10" t="s">
        <v>495</v>
      </c>
      <c r="D330" s="11">
        <v>567</v>
      </c>
      <c r="E330" s="11">
        <f t="shared" si="113"/>
        <v>377.48591999999991</v>
      </c>
      <c r="F330" s="13">
        <f t="shared" si="114"/>
        <v>480</v>
      </c>
      <c r="G330" s="13"/>
      <c r="H330" s="8" t="s">
        <v>9</v>
      </c>
      <c r="I330" s="63" t="s">
        <v>487</v>
      </c>
    </row>
    <row r="331" spans="1:9" ht="18" x14ac:dyDescent="0.3">
      <c r="A331" s="8" t="s">
        <v>496</v>
      </c>
      <c r="B331" s="8"/>
      <c r="C331" s="10" t="s">
        <v>497</v>
      </c>
      <c r="D331" s="11">
        <v>592</v>
      </c>
      <c r="E331" s="11">
        <f t="shared" si="113"/>
        <v>394.12991999999997</v>
      </c>
      <c r="F331" s="13">
        <f t="shared" si="114"/>
        <v>500</v>
      </c>
      <c r="G331" s="13"/>
      <c r="H331" s="8" t="s">
        <v>9</v>
      </c>
      <c r="I331" s="63" t="s">
        <v>487</v>
      </c>
    </row>
    <row r="332" spans="1:9" ht="18" x14ac:dyDescent="0.3">
      <c r="A332" s="8" t="s">
        <v>498</v>
      </c>
      <c r="B332" s="8"/>
      <c r="C332" s="10" t="s">
        <v>499</v>
      </c>
      <c r="D332" s="11">
        <v>614</v>
      </c>
      <c r="E332" s="11">
        <f t="shared" si="113"/>
        <v>408.77663999999993</v>
      </c>
      <c r="F332" s="13">
        <f t="shared" si="114"/>
        <v>520</v>
      </c>
      <c r="G332" s="13"/>
      <c r="H332" s="8" t="s">
        <v>9</v>
      </c>
      <c r="I332" s="63" t="s">
        <v>487</v>
      </c>
    </row>
    <row r="333" spans="1:9" ht="18" x14ac:dyDescent="0.3">
      <c r="A333" s="8" t="s">
        <v>500</v>
      </c>
      <c r="B333" s="8"/>
      <c r="C333" s="10" t="s">
        <v>501</v>
      </c>
      <c r="D333" s="11">
        <v>730</v>
      </c>
      <c r="E333" s="11">
        <f t="shared" si="113"/>
        <v>486.00479999999993</v>
      </c>
      <c r="F333" s="13">
        <f t="shared" si="114"/>
        <v>610</v>
      </c>
      <c r="G333" s="13"/>
      <c r="H333" s="8" t="s">
        <v>9</v>
      </c>
      <c r="I333" s="63" t="s">
        <v>487</v>
      </c>
    </row>
    <row r="334" spans="1:9" ht="14.4" customHeight="1" x14ac:dyDescent="0.3">
      <c r="A334" s="8" t="s">
        <v>502</v>
      </c>
      <c r="B334" s="8"/>
      <c r="C334" s="10" t="s">
        <v>503</v>
      </c>
      <c r="D334" s="11">
        <v>523</v>
      </c>
      <c r="E334" s="11">
        <f t="shared" si="113"/>
        <v>348.19247999999999</v>
      </c>
      <c r="F334" s="13">
        <f t="shared" si="114"/>
        <v>440</v>
      </c>
      <c r="G334" s="13"/>
      <c r="H334" s="8" t="s">
        <v>9</v>
      </c>
      <c r="I334" s="63" t="s">
        <v>487</v>
      </c>
    </row>
    <row r="335" spans="1:9" ht="18" x14ac:dyDescent="0.3">
      <c r="A335" s="8" t="s">
        <v>504</v>
      </c>
      <c r="B335" s="8"/>
      <c r="C335" s="10" t="s">
        <v>505</v>
      </c>
      <c r="D335" s="11">
        <v>540</v>
      </c>
      <c r="E335" s="11">
        <f t="shared" si="113"/>
        <v>359.51039999999995</v>
      </c>
      <c r="F335" s="13">
        <f t="shared" si="114"/>
        <v>450</v>
      </c>
      <c r="G335" s="13"/>
      <c r="H335" s="8" t="s">
        <v>9</v>
      </c>
      <c r="I335" s="63" t="s">
        <v>487</v>
      </c>
    </row>
    <row r="336" spans="1:9" ht="18" x14ac:dyDescent="0.3">
      <c r="A336" s="8" t="s">
        <v>506</v>
      </c>
      <c r="B336" s="8"/>
      <c r="C336" s="10" t="s">
        <v>507</v>
      </c>
      <c r="D336" s="11">
        <v>583</v>
      </c>
      <c r="E336" s="11">
        <f t="shared" si="113"/>
        <v>388.13807999999995</v>
      </c>
      <c r="F336" s="13">
        <f t="shared" si="114"/>
        <v>490</v>
      </c>
      <c r="G336" s="13"/>
      <c r="H336" s="8" t="s">
        <v>9</v>
      </c>
      <c r="I336" s="63" t="s">
        <v>487</v>
      </c>
    </row>
    <row r="337" spans="1:9" ht="18" x14ac:dyDescent="0.3">
      <c r="A337" s="8" t="s">
        <v>508</v>
      </c>
      <c r="B337" s="8"/>
      <c r="C337" s="10" t="s">
        <v>509</v>
      </c>
      <c r="D337" s="11">
        <v>614</v>
      </c>
      <c r="E337" s="11">
        <f t="shared" si="113"/>
        <v>408.77663999999993</v>
      </c>
      <c r="F337" s="13">
        <f t="shared" si="114"/>
        <v>520</v>
      </c>
      <c r="G337" s="13"/>
      <c r="H337" s="8" t="s">
        <v>9</v>
      </c>
      <c r="I337" s="63" t="s">
        <v>487</v>
      </c>
    </row>
    <row r="338" spans="1:9" ht="18" x14ac:dyDescent="0.3">
      <c r="A338" s="8" t="s">
        <v>510</v>
      </c>
      <c r="B338" s="8"/>
      <c r="C338" s="10" t="s">
        <v>511</v>
      </c>
      <c r="D338" s="11">
        <v>658</v>
      </c>
      <c r="E338" s="11">
        <f t="shared" si="113"/>
        <v>438.07007999999996</v>
      </c>
      <c r="F338" s="13">
        <f t="shared" si="114"/>
        <v>550</v>
      </c>
      <c r="G338" s="13"/>
      <c r="H338" s="8" t="s">
        <v>9</v>
      </c>
      <c r="I338" s="63" t="s">
        <v>487</v>
      </c>
    </row>
    <row r="339" spans="1:9" ht="18" x14ac:dyDescent="0.3">
      <c r="A339" s="8" t="s">
        <v>512</v>
      </c>
      <c r="B339" s="8"/>
      <c r="C339" s="10" t="s">
        <v>513</v>
      </c>
      <c r="D339" s="11">
        <v>681</v>
      </c>
      <c r="E339" s="11">
        <f t="shared" si="113"/>
        <v>453.38255999999996</v>
      </c>
      <c r="F339" s="13">
        <f t="shared" si="114"/>
        <v>570</v>
      </c>
      <c r="G339" s="13"/>
      <c r="H339" s="8" t="s">
        <v>9</v>
      </c>
      <c r="I339" s="63" t="s">
        <v>487</v>
      </c>
    </row>
    <row r="340" spans="1:9" ht="18" x14ac:dyDescent="0.3">
      <c r="A340" s="8" t="s">
        <v>514</v>
      </c>
      <c r="B340" s="8"/>
      <c r="C340" s="10" t="s">
        <v>515</v>
      </c>
      <c r="D340" s="11">
        <v>804</v>
      </c>
      <c r="E340" s="11">
        <f t="shared" si="113"/>
        <v>535.27103999999997</v>
      </c>
      <c r="F340" s="13">
        <f t="shared" si="114"/>
        <v>670</v>
      </c>
      <c r="G340" s="13"/>
      <c r="H340" s="8" t="s">
        <v>9</v>
      </c>
      <c r="I340" s="63" t="s">
        <v>487</v>
      </c>
    </row>
    <row r="341" spans="1:9" ht="14.4" customHeight="1" x14ac:dyDescent="0.3">
      <c r="A341" s="8" t="s">
        <v>516</v>
      </c>
      <c r="B341" s="8"/>
      <c r="C341" s="10" t="s">
        <v>517</v>
      </c>
      <c r="D341" s="11">
        <v>512</v>
      </c>
      <c r="E341" s="11">
        <f t="shared" ref="E341:E352" si="115">D341*0.73*0.95*0.96</f>
        <v>340.86912000000001</v>
      </c>
      <c r="F341" s="13">
        <f t="shared" ref="F341:F352" si="116">ROUNDUP((E341*1.25),-1)</f>
        <v>430</v>
      </c>
      <c r="G341" s="13"/>
      <c r="H341" s="8" t="s">
        <v>9</v>
      </c>
      <c r="I341" s="63" t="s">
        <v>487</v>
      </c>
    </row>
    <row r="342" spans="1:9" ht="18" x14ac:dyDescent="0.3">
      <c r="A342" s="8" t="s">
        <v>518</v>
      </c>
      <c r="B342" s="8"/>
      <c r="C342" s="10" t="s">
        <v>519</v>
      </c>
      <c r="D342" s="11">
        <v>569</v>
      </c>
      <c r="E342" s="11">
        <f t="shared" si="115"/>
        <v>378.81743999999998</v>
      </c>
      <c r="F342" s="13">
        <f t="shared" si="116"/>
        <v>480</v>
      </c>
      <c r="G342" s="13"/>
      <c r="H342" s="8" t="s">
        <v>9</v>
      </c>
      <c r="I342" s="63" t="s">
        <v>487</v>
      </c>
    </row>
    <row r="343" spans="1:9" ht="18" x14ac:dyDescent="0.3">
      <c r="A343" s="8" t="s">
        <v>520</v>
      </c>
      <c r="B343" s="8"/>
      <c r="C343" s="10" t="s">
        <v>521</v>
      </c>
      <c r="D343" s="11">
        <v>594</v>
      </c>
      <c r="E343" s="11">
        <f t="shared" si="115"/>
        <v>395.46143999999993</v>
      </c>
      <c r="F343" s="13">
        <f t="shared" si="116"/>
        <v>500</v>
      </c>
      <c r="G343" s="13"/>
      <c r="H343" s="8" t="s">
        <v>9</v>
      </c>
      <c r="I343" s="63" t="s">
        <v>487</v>
      </c>
    </row>
    <row r="344" spans="1:9" ht="18" x14ac:dyDescent="0.3">
      <c r="A344" s="8" t="s">
        <v>522</v>
      </c>
      <c r="B344" s="8"/>
      <c r="C344" s="10" t="s">
        <v>523</v>
      </c>
      <c r="D344" s="11">
        <v>622</v>
      </c>
      <c r="E344" s="11">
        <f t="shared" si="115"/>
        <v>414.10271999999998</v>
      </c>
      <c r="F344" s="13">
        <f t="shared" si="116"/>
        <v>520</v>
      </c>
      <c r="G344" s="13"/>
      <c r="H344" s="8" t="s">
        <v>9</v>
      </c>
      <c r="I344" s="63" t="s">
        <v>487</v>
      </c>
    </row>
    <row r="345" spans="1:9" ht="18" x14ac:dyDescent="0.3">
      <c r="A345" s="8" t="s">
        <v>524</v>
      </c>
      <c r="B345" s="8"/>
      <c r="C345" s="10" t="s">
        <v>525</v>
      </c>
      <c r="D345" s="11">
        <v>645</v>
      </c>
      <c r="E345" s="11">
        <f t="shared" si="115"/>
        <v>429.41519999999991</v>
      </c>
      <c r="F345" s="13">
        <f t="shared" si="116"/>
        <v>540</v>
      </c>
      <c r="G345" s="13"/>
      <c r="H345" s="8" t="s">
        <v>9</v>
      </c>
      <c r="I345" s="63" t="s">
        <v>487</v>
      </c>
    </row>
    <row r="346" spans="1:9" ht="18" x14ac:dyDescent="0.3">
      <c r="A346" s="8" t="s">
        <v>526</v>
      </c>
      <c r="B346" s="8"/>
      <c r="C346" s="10" t="s">
        <v>527</v>
      </c>
      <c r="D346" s="11">
        <v>767</v>
      </c>
      <c r="E346" s="11">
        <f t="shared" si="115"/>
        <v>510.63791999999995</v>
      </c>
      <c r="F346" s="13">
        <f t="shared" si="116"/>
        <v>640</v>
      </c>
      <c r="G346" s="13"/>
      <c r="H346" s="8" t="s">
        <v>9</v>
      </c>
      <c r="I346" s="63" t="s">
        <v>487</v>
      </c>
    </row>
    <row r="347" spans="1:9" ht="14.4" customHeight="1" x14ac:dyDescent="0.3">
      <c r="A347" s="8" t="s">
        <v>528</v>
      </c>
      <c r="B347" s="8"/>
      <c r="C347" s="10" t="s">
        <v>529</v>
      </c>
      <c r="D347" s="11">
        <v>566</v>
      </c>
      <c r="E347" s="11">
        <f t="shared" si="115"/>
        <v>376.82015999999999</v>
      </c>
      <c r="F347" s="13">
        <f t="shared" si="116"/>
        <v>480</v>
      </c>
      <c r="G347" s="13"/>
      <c r="H347" s="8" t="s">
        <v>9</v>
      </c>
      <c r="I347" s="63" t="s">
        <v>487</v>
      </c>
    </row>
    <row r="348" spans="1:9" ht="18" x14ac:dyDescent="0.3">
      <c r="A348" s="8" t="s">
        <v>530</v>
      </c>
      <c r="B348" s="8"/>
      <c r="C348" s="10" t="s">
        <v>531</v>
      </c>
      <c r="D348" s="11">
        <v>612</v>
      </c>
      <c r="E348" s="11">
        <f t="shared" si="115"/>
        <v>407.44511999999997</v>
      </c>
      <c r="F348" s="13">
        <f t="shared" si="116"/>
        <v>510</v>
      </c>
      <c r="G348" s="13"/>
      <c r="H348" s="8" t="s">
        <v>9</v>
      </c>
      <c r="I348" s="63" t="s">
        <v>487</v>
      </c>
    </row>
    <row r="349" spans="1:9" ht="18" x14ac:dyDescent="0.3">
      <c r="A349" s="8" t="s">
        <v>532</v>
      </c>
      <c r="B349" s="8"/>
      <c r="C349" s="10" t="s">
        <v>533</v>
      </c>
      <c r="D349" s="11">
        <v>645</v>
      </c>
      <c r="E349" s="11">
        <f t="shared" si="115"/>
        <v>429.41519999999991</v>
      </c>
      <c r="F349" s="13">
        <f t="shared" si="116"/>
        <v>540</v>
      </c>
      <c r="G349" s="13"/>
      <c r="H349" s="8" t="s">
        <v>9</v>
      </c>
      <c r="I349" s="63" t="s">
        <v>487</v>
      </c>
    </row>
    <row r="350" spans="1:9" ht="18" x14ac:dyDescent="0.3">
      <c r="A350" s="8" t="s">
        <v>534</v>
      </c>
      <c r="B350" s="8"/>
      <c r="C350" s="10" t="s">
        <v>535</v>
      </c>
      <c r="D350" s="11">
        <v>691</v>
      </c>
      <c r="E350" s="11">
        <f t="shared" si="115"/>
        <v>460.04015999999996</v>
      </c>
      <c r="F350" s="13">
        <f t="shared" si="116"/>
        <v>580</v>
      </c>
      <c r="G350" s="13"/>
      <c r="H350" s="8" t="s">
        <v>9</v>
      </c>
      <c r="I350" s="63" t="s">
        <v>487</v>
      </c>
    </row>
    <row r="351" spans="1:9" ht="18" x14ac:dyDescent="0.3">
      <c r="A351" s="8" t="s">
        <v>536</v>
      </c>
      <c r="B351" s="8"/>
      <c r="C351" s="10" t="s">
        <v>537</v>
      </c>
      <c r="D351" s="11">
        <v>714</v>
      </c>
      <c r="E351" s="11">
        <f t="shared" si="115"/>
        <v>475.35263999999995</v>
      </c>
      <c r="F351" s="13">
        <f t="shared" si="116"/>
        <v>600</v>
      </c>
      <c r="G351" s="13"/>
      <c r="H351" s="8" t="s">
        <v>9</v>
      </c>
      <c r="I351" s="63" t="s">
        <v>487</v>
      </c>
    </row>
    <row r="352" spans="1:9" ht="18" x14ac:dyDescent="0.3">
      <c r="A352" s="8" t="s">
        <v>538</v>
      </c>
      <c r="B352" s="8"/>
      <c r="C352" s="10" t="s">
        <v>539</v>
      </c>
      <c r="D352" s="11">
        <v>845</v>
      </c>
      <c r="E352" s="11">
        <f t="shared" si="115"/>
        <v>562.56720000000007</v>
      </c>
      <c r="F352" s="13">
        <f t="shared" si="116"/>
        <v>710</v>
      </c>
      <c r="G352" s="13"/>
      <c r="H352" s="8" t="s">
        <v>9</v>
      </c>
      <c r="I352" s="63" t="s">
        <v>487</v>
      </c>
    </row>
    <row r="353" spans="1:9" ht="14.4" customHeight="1" x14ac:dyDescent="0.3">
      <c r="A353" s="8" t="s">
        <v>540</v>
      </c>
      <c r="B353" s="8"/>
      <c r="C353" s="10" t="s">
        <v>541</v>
      </c>
      <c r="D353" s="11">
        <v>561</v>
      </c>
      <c r="E353" s="11">
        <f t="shared" ref="E353:E360" si="117">D353*0.73*0.95*0.96</f>
        <v>373.49135999999993</v>
      </c>
      <c r="F353" s="13">
        <f t="shared" ref="F353:F360" si="118">ROUNDUP((E353*1.25),-1)</f>
        <v>470</v>
      </c>
      <c r="G353" s="13"/>
      <c r="H353" s="8" t="s">
        <v>9</v>
      </c>
      <c r="I353" s="63" t="s">
        <v>487</v>
      </c>
    </row>
    <row r="354" spans="1:9" ht="18" x14ac:dyDescent="0.3">
      <c r="A354" s="8" t="s">
        <v>542</v>
      </c>
      <c r="B354" s="8"/>
      <c r="C354" s="10" t="s">
        <v>543</v>
      </c>
      <c r="D354" s="11">
        <v>652</v>
      </c>
      <c r="E354" s="11">
        <f t="shared" si="117"/>
        <v>434.07551999999998</v>
      </c>
      <c r="F354" s="13">
        <f t="shared" si="118"/>
        <v>550</v>
      </c>
      <c r="G354" s="13"/>
      <c r="H354" s="8" t="s">
        <v>9</v>
      </c>
      <c r="I354" s="63" t="s">
        <v>487</v>
      </c>
    </row>
    <row r="355" spans="1:9" ht="18" x14ac:dyDescent="0.3">
      <c r="A355" s="8" t="s">
        <v>544</v>
      </c>
      <c r="B355" s="8"/>
      <c r="C355" s="10" t="s">
        <v>545</v>
      </c>
      <c r="D355" s="11">
        <v>707</v>
      </c>
      <c r="E355" s="11">
        <f t="shared" si="117"/>
        <v>470.69231999999994</v>
      </c>
      <c r="F355" s="13">
        <f t="shared" si="118"/>
        <v>590</v>
      </c>
      <c r="G355" s="13"/>
      <c r="H355" s="8" t="s">
        <v>9</v>
      </c>
      <c r="I355" s="63" t="s">
        <v>487</v>
      </c>
    </row>
    <row r="356" spans="1:9" ht="18" x14ac:dyDescent="0.3">
      <c r="A356" s="8" t="s">
        <v>546</v>
      </c>
      <c r="B356" s="8"/>
      <c r="C356" s="10" t="s">
        <v>547</v>
      </c>
      <c r="D356" s="11">
        <v>840</v>
      </c>
      <c r="E356" s="11">
        <f t="shared" si="117"/>
        <v>559.23839999999996</v>
      </c>
      <c r="F356" s="13">
        <f t="shared" si="118"/>
        <v>700</v>
      </c>
      <c r="G356" s="13"/>
      <c r="H356" s="8" t="s">
        <v>9</v>
      </c>
      <c r="I356" s="63" t="s">
        <v>487</v>
      </c>
    </row>
    <row r="357" spans="1:9" ht="14.4" customHeight="1" x14ac:dyDescent="0.3">
      <c r="A357" s="8" t="s">
        <v>548</v>
      </c>
      <c r="B357" s="8"/>
      <c r="C357" s="10" t="s">
        <v>549</v>
      </c>
      <c r="D357" s="11">
        <v>620</v>
      </c>
      <c r="E357" s="11">
        <f t="shared" si="117"/>
        <v>412.77119999999996</v>
      </c>
      <c r="F357" s="13">
        <f t="shared" si="118"/>
        <v>520</v>
      </c>
      <c r="G357" s="13"/>
      <c r="H357" s="8" t="s">
        <v>9</v>
      </c>
      <c r="I357" s="63" t="s">
        <v>487</v>
      </c>
    </row>
    <row r="358" spans="1:9" ht="18" x14ac:dyDescent="0.3">
      <c r="A358" s="8" t="s">
        <v>550</v>
      </c>
      <c r="B358" s="8"/>
      <c r="C358" s="10" t="s">
        <v>551</v>
      </c>
      <c r="D358" s="11">
        <v>707</v>
      </c>
      <c r="E358" s="11">
        <f t="shared" si="117"/>
        <v>470.69231999999994</v>
      </c>
      <c r="F358" s="13">
        <f t="shared" si="118"/>
        <v>590</v>
      </c>
      <c r="G358" s="13"/>
      <c r="H358" s="8" t="s">
        <v>9</v>
      </c>
      <c r="I358" s="63" t="s">
        <v>487</v>
      </c>
    </row>
    <row r="359" spans="1:9" ht="18" x14ac:dyDescent="0.3">
      <c r="A359" s="8" t="s">
        <v>552</v>
      </c>
      <c r="B359" s="8"/>
      <c r="C359" s="10" t="s">
        <v>553</v>
      </c>
      <c r="D359" s="11">
        <v>783</v>
      </c>
      <c r="E359" s="11">
        <f t="shared" si="117"/>
        <v>521.29007999999999</v>
      </c>
      <c r="F359" s="13">
        <f t="shared" si="118"/>
        <v>660</v>
      </c>
      <c r="G359" s="13"/>
      <c r="H359" s="8" t="s">
        <v>9</v>
      </c>
      <c r="I359" s="63" t="s">
        <v>487</v>
      </c>
    </row>
    <row r="360" spans="1:9" ht="18" x14ac:dyDescent="0.3">
      <c r="A360" s="8" t="s">
        <v>554</v>
      </c>
      <c r="B360" s="8"/>
      <c r="C360" s="10" t="s">
        <v>555</v>
      </c>
      <c r="D360" s="11">
        <v>945</v>
      </c>
      <c r="E360" s="11">
        <f t="shared" si="117"/>
        <v>629.14319999999998</v>
      </c>
      <c r="F360" s="13">
        <f t="shared" si="118"/>
        <v>790</v>
      </c>
      <c r="G360" s="13"/>
      <c r="H360" s="8" t="s">
        <v>9</v>
      </c>
      <c r="I360" s="63" t="s">
        <v>487</v>
      </c>
    </row>
    <row r="361" spans="1:9" ht="14.4" customHeight="1" x14ac:dyDescent="0.3">
      <c r="A361" s="8" t="s">
        <v>556</v>
      </c>
      <c r="B361" s="8"/>
      <c r="C361" s="10" t="s">
        <v>557</v>
      </c>
      <c r="D361" s="11">
        <v>770</v>
      </c>
      <c r="E361" s="11">
        <f t="shared" ref="E361:E369" si="119">D361*0.73*0.95*0.96</f>
        <v>512.63519999999994</v>
      </c>
      <c r="F361" s="13">
        <f t="shared" ref="F361:F369" si="120">ROUNDUP((E361*1.25),-1)</f>
        <v>650</v>
      </c>
      <c r="G361" s="13"/>
      <c r="H361" s="8" t="s">
        <v>9</v>
      </c>
      <c r="I361" s="63" t="s">
        <v>487</v>
      </c>
    </row>
    <row r="362" spans="1:9" ht="18" x14ac:dyDescent="0.3">
      <c r="A362" s="8" t="s">
        <v>558</v>
      </c>
      <c r="B362" s="8"/>
      <c r="C362" s="10" t="s">
        <v>559</v>
      </c>
      <c r="D362" s="11">
        <v>820</v>
      </c>
      <c r="E362" s="11">
        <f t="shared" si="119"/>
        <v>545.92319999999995</v>
      </c>
      <c r="F362" s="13">
        <f t="shared" si="120"/>
        <v>690</v>
      </c>
      <c r="G362" s="13"/>
      <c r="H362" s="8" t="s">
        <v>9</v>
      </c>
      <c r="I362" s="63" t="s">
        <v>487</v>
      </c>
    </row>
    <row r="363" spans="1:9" ht="18" x14ac:dyDescent="0.3">
      <c r="A363" s="8" t="s">
        <v>560</v>
      </c>
      <c r="B363" s="8"/>
      <c r="C363" s="10" t="s">
        <v>561</v>
      </c>
      <c r="D363" s="11">
        <v>942</v>
      </c>
      <c r="E363" s="11">
        <f t="shared" si="119"/>
        <v>627.14591999999993</v>
      </c>
      <c r="F363" s="13">
        <f t="shared" si="120"/>
        <v>790</v>
      </c>
      <c r="G363" s="13"/>
      <c r="H363" s="8" t="s">
        <v>9</v>
      </c>
      <c r="I363" s="63" t="s">
        <v>487</v>
      </c>
    </row>
    <row r="364" spans="1:9" ht="18" x14ac:dyDescent="0.3">
      <c r="A364" s="8" t="s">
        <v>562</v>
      </c>
      <c r="B364" s="8"/>
      <c r="C364" s="10" t="s">
        <v>563</v>
      </c>
      <c r="D364" s="11">
        <v>992</v>
      </c>
      <c r="E364" s="11">
        <f t="shared" si="119"/>
        <v>660.43391999999983</v>
      </c>
      <c r="F364" s="13">
        <f t="shared" si="120"/>
        <v>830</v>
      </c>
      <c r="G364" s="13"/>
      <c r="H364" s="8" t="s">
        <v>9</v>
      </c>
      <c r="I364" s="63" t="s">
        <v>487</v>
      </c>
    </row>
    <row r="365" spans="1:9" ht="18" x14ac:dyDescent="0.3">
      <c r="A365" s="8" t="s">
        <v>564</v>
      </c>
      <c r="B365" s="8"/>
      <c r="C365" s="10" t="s">
        <v>565</v>
      </c>
      <c r="D365" s="11">
        <v>1060</v>
      </c>
      <c r="E365" s="11">
        <f t="shared" si="119"/>
        <v>705.70559999999989</v>
      </c>
      <c r="F365" s="13">
        <f t="shared" si="120"/>
        <v>890</v>
      </c>
      <c r="G365" s="13"/>
      <c r="H365" s="8" t="s">
        <v>9</v>
      </c>
      <c r="I365" s="63" t="s">
        <v>487</v>
      </c>
    </row>
    <row r="366" spans="1:9" ht="18" x14ac:dyDescent="0.3">
      <c r="A366" s="8" t="s">
        <v>566</v>
      </c>
      <c r="B366" s="8"/>
      <c r="C366" s="10" t="s">
        <v>567</v>
      </c>
      <c r="D366" s="11">
        <v>1168</v>
      </c>
      <c r="E366" s="11">
        <f t="shared" si="119"/>
        <v>777.60767999999985</v>
      </c>
      <c r="F366" s="13">
        <f t="shared" si="120"/>
        <v>980</v>
      </c>
      <c r="G366" s="13"/>
      <c r="H366" s="8" t="s">
        <v>9</v>
      </c>
      <c r="I366" s="63" t="s">
        <v>487</v>
      </c>
    </row>
    <row r="367" spans="1:9" ht="18" x14ac:dyDescent="0.3">
      <c r="A367" s="8" t="s">
        <v>568</v>
      </c>
      <c r="B367" s="8"/>
      <c r="C367" s="10" t="s">
        <v>569</v>
      </c>
      <c r="D367" s="11">
        <v>1137</v>
      </c>
      <c r="E367" s="11">
        <f t="shared" si="119"/>
        <v>756.96911999999998</v>
      </c>
      <c r="F367" s="13">
        <f t="shared" si="120"/>
        <v>950</v>
      </c>
      <c r="G367" s="13"/>
      <c r="H367" s="8" t="s">
        <v>9</v>
      </c>
      <c r="I367" s="63" t="s">
        <v>487</v>
      </c>
    </row>
    <row r="368" spans="1:9" ht="18" x14ac:dyDescent="0.3">
      <c r="A368" s="8" t="s">
        <v>570</v>
      </c>
      <c r="B368" s="8"/>
      <c r="C368" s="10" t="s">
        <v>571</v>
      </c>
      <c r="D368" s="11">
        <v>1306</v>
      </c>
      <c r="E368" s="11">
        <f t="shared" si="119"/>
        <v>869.48255999999992</v>
      </c>
      <c r="F368" s="13">
        <f t="shared" si="120"/>
        <v>1090</v>
      </c>
      <c r="G368" s="13"/>
      <c r="H368" s="8" t="s">
        <v>9</v>
      </c>
      <c r="I368" s="63" t="s">
        <v>487</v>
      </c>
    </row>
    <row r="369" spans="1:9" ht="18" x14ac:dyDescent="0.3">
      <c r="A369" s="8" t="s">
        <v>572</v>
      </c>
      <c r="B369" s="8"/>
      <c r="C369" s="10" t="s">
        <v>573</v>
      </c>
      <c r="D369" s="11">
        <v>1434</v>
      </c>
      <c r="E369" s="11">
        <f t="shared" si="119"/>
        <v>954.69983999999988</v>
      </c>
      <c r="F369" s="13">
        <f t="shared" si="120"/>
        <v>1200</v>
      </c>
      <c r="G369" s="13"/>
      <c r="H369" s="8" t="s">
        <v>9</v>
      </c>
      <c r="I369" s="63" t="s">
        <v>487</v>
      </c>
    </row>
    <row r="370" spans="1:9" ht="14.4" customHeight="1" x14ac:dyDescent="0.3">
      <c r="A370" s="8" t="s">
        <v>574</v>
      </c>
      <c r="B370" s="8"/>
      <c r="C370" s="10" t="s">
        <v>575</v>
      </c>
      <c r="D370" s="11">
        <v>810</v>
      </c>
      <c r="E370" s="11">
        <f t="shared" ref="E370:E378" si="121">D370*0.73*0.95*0.96</f>
        <v>539.26559999999984</v>
      </c>
      <c r="F370" s="13">
        <f t="shared" ref="F370:F378" si="122">ROUNDUP((E370*1.25),-1)</f>
        <v>680</v>
      </c>
      <c r="G370" s="13"/>
      <c r="H370" s="8" t="s">
        <v>9</v>
      </c>
      <c r="I370" s="63" t="s">
        <v>487</v>
      </c>
    </row>
    <row r="371" spans="1:9" ht="18" x14ac:dyDescent="0.3">
      <c r="A371" s="8" t="s">
        <v>576</v>
      </c>
      <c r="B371" s="8"/>
      <c r="C371" s="10" t="s">
        <v>577</v>
      </c>
      <c r="D371" s="11">
        <v>862</v>
      </c>
      <c r="E371" s="11">
        <f t="shared" si="121"/>
        <v>573.88511999999992</v>
      </c>
      <c r="F371" s="13">
        <f t="shared" si="122"/>
        <v>720</v>
      </c>
      <c r="G371" s="13"/>
      <c r="H371" s="8" t="s">
        <v>9</v>
      </c>
      <c r="I371" s="63" t="s">
        <v>487</v>
      </c>
    </row>
    <row r="372" spans="1:9" ht="18" x14ac:dyDescent="0.3">
      <c r="A372" s="8" t="s">
        <v>578</v>
      </c>
      <c r="B372" s="8"/>
      <c r="C372" s="10" t="s">
        <v>579</v>
      </c>
      <c r="D372" s="11">
        <v>988</v>
      </c>
      <c r="E372" s="11">
        <f t="shared" si="121"/>
        <v>657.77087999999992</v>
      </c>
      <c r="F372" s="13">
        <f t="shared" si="122"/>
        <v>830</v>
      </c>
      <c r="G372" s="13"/>
      <c r="H372" s="8" t="s">
        <v>9</v>
      </c>
      <c r="I372" s="63" t="s">
        <v>487</v>
      </c>
    </row>
    <row r="373" spans="1:9" ht="18" x14ac:dyDescent="0.3">
      <c r="A373" s="8" t="s">
        <v>580</v>
      </c>
      <c r="B373" s="8"/>
      <c r="C373" s="10" t="s">
        <v>581</v>
      </c>
      <c r="D373" s="11">
        <v>1043</v>
      </c>
      <c r="E373" s="11">
        <f t="shared" si="121"/>
        <v>694.38767999999993</v>
      </c>
      <c r="F373" s="13">
        <f t="shared" si="122"/>
        <v>870</v>
      </c>
      <c r="G373" s="13"/>
      <c r="H373" s="8" t="s">
        <v>9</v>
      </c>
      <c r="I373" s="63" t="s">
        <v>487</v>
      </c>
    </row>
    <row r="374" spans="1:9" ht="18" x14ac:dyDescent="0.3">
      <c r="A374" s="8" t="s">
        <v>582</v>
      </c>
      <c r="B374" s="8"/>
      <c r="C374" s="10" t="s">
        <v>583</v>
      </c>
      <c r="D374" s="11">
        <v>1113</v>
      </c>
      <c r="E374" s="11">
        <f t="shared" si="121"/>
        <v>740.99087999999995</v>
      </c>
      <c r="F374" s="13">
        <f t="shared" si="122"/>
        <v>930</v>
      </c>
      <c r="G374" s="13"/>
      <c r="H374" s="8" t="s">
        <v>9</v>
      </c>
      <c r="I374" s="63" t="s">
        <v>487</v>
      </c>
    </row>
    <row r="375" spans="1:9" ht="18" x14ac:dyDescent="0.3">
      <c r="A375" s="8" t="s">
        <v>584</v>
      </c>
      <c r="B375" s="8"/>
      <c r="C375" s="10" t="s">
        <v>585</v>
      </c>
      <c r="D375" s="11">
        <v>1228</v>
      </c>
      <c r="E375" s="11">
        <f t="shared" si="121"/>
        <v>817.55327999999986</v>
      </c>
      <c r="F375" s="13">
        <f t="shared" si="122"/>
        <v>1030</v>
      </c>
      <c r="G375" s="13"/>
      <c r="H375" s="8" t="s">
        <v>9</v>
      </c>
      <c r="I375" s="63" t="s">
        <v>487</v>
      </c>
    </row>
    <row r="376" spans="1:9" ht="18" x14ac:dyDescent="0.3">
      <c r="A376" s="8" t="s">
        <v>586</v>
      </c>
      <c r="B376" s="8"/>
      <c r="C376" s="10" t="s">
        <v>587</v>
      </c>
      <c r="D376" s="11">
        <v>1194</v>
      </c>
      <c r="E376" s="11">
        <f t="shared" si="121"/>
        <v>794.91743999999994</v>
      </c>
      <c r="F376" s="13">
        <f t="shared" si="122"/>
        <v>1000</v>
      </c>
      <c r="G376" s="13"/>
      <c r="H376" s="8" t="s">
        <v>9</v>
      </c>
      <c r="I376" s="63" t="s">
        <v>487</v>
      </c>
    </row>
    <row r="377" spans="1:9" ht="18" x14ac:dyDescent="0.3">
      <c r="A377" s="8" t="s">
        <v>588</v>
      </c>
      <c r="B377" s="8"/>
      <c r="C377" s="10" t="s">
        <v>589</v>
      </c>
      <c r="D377" s="11">
        <v>1371</v>
      </c>
      <c r="E377" s="11">
        <f t="shared" si="121"/>
        <v>912.75695999999982</v>
      </c>
      <c r="F377" s="13">
        <f t="shared" si="122"/>
        <v>1150</v>
      </c>
      <c r="G377" s="13"/>
      <c r="H377" s="8" t="s">
        <v>9</v>
      </c>
      <c r="I377" s="63" t="s">
        <v>487</v>
      </c>
    </row>
    <row r="378" spans="1:9" ht="18" x14ac:dyDescent="0.3">
      <c r="A378" s="8" t="s">
        <v>590</v>
      </c>
      <c r="B378" s="8"/>
      <c r="C378" s="10" t="s">
        <v>591</v>
      </c>
      <c r="D378" s="11">
        <v>1506</v>
      </c>
      <c r="E378" s="11">
        <f t="shared" si="121"/>
        <v>1002.6345599999999</v>
      </c>
      <c r="F378" s="13">
        <f t="shared" si="122"/>
        <v>1260</v>
      </c>
      <c r="G378" s="13"/>
      <c r="H378" s="8" t="s">
        <v>9</v>
      </c>
      <c r="I378" s="63" t="s">
        <v>487</v>
      </c>
    </row>
    <row r="379" spans="1:9" ht="14.4" customHeight="1" x14ac:dyDescent="0.3">
      <c r="A379" s="8" t="s">
        <v>592</v>
      </c>
      <c r="B379" s="8"/>
      <c r="C379" s="10" t="s">
        <v>593</v>
      </c>
      <c r="D379" s="11">
        <v>887</v>
      </c>
      <c r="E379" s="11">
        <f t="shared" ref="E379:E387" si="123">D379*0.73*0.95*0.96</f>
        <v>590.52912000000003</v>
      </c>
      <c r="F379" s="13">
        <f t="shared" ref="F379:F387" si="124">ROUNDUP((E379*1.25),-1)</f>
        <v>740</v>
      </c>
      <c r="G379" s="13"/>
      <c r="H379" s="8" t="s">
        <v>9</v>
      </c>
      <c r="I379" s="63" t="s">
        <v>487</v>
      </c>
    </row>
    <row r="380" spans="1:9" ht="18" x14ac:dyDescent="0.3">
      <c r="A380" s="8" t="s">
        <v>594</v>
      </c>
      <c r="B380" s="8"/>
      <c r="C380" s="10" t="s">
        <v>595</v>
      </c>
      <c r="D380" s="11">
        <v>943</v>
      </c>
      <c r="E380" s="11">
        <f t="shared" si="123"/>
        <v>627.81167999999991</v>
      </c>
      <c r="F380" s="13">
        <f t="shared" si="124"/>
        <v>790</v>
      </c>
      <c r="G380" s="13"/>
      <c r="H380" s="8" t="s">
        <v>9</v>
      </c>
      <c r="I380" s="63" t="s">
        <v>487</v>
      </c>
    </row>
    <row r="381" spans="1:9" ht="18" x14ac:dyDescent="0.3">
      <c r="A381" s="8" t="s">
        <v>596</v>
      </c>
      <c r="B381" s="8"/>
      <c r="C381" s="10" t="s">
        <v>597</v>
      </c>
      <c r="D381" s="11">
        <v>1083</v>
      </c>
      <c r="E381" s="11">
        <f t="shared" si="123"/>
        <v>721.01808000000005</v>
      </c>
      <c r="F381" s="13">
        <f t="shared" si="124"/>
        <v>910</v>
      </c>
      <c r="G381" s="13"/>
      <c r="H381" s="8" t="s">
        <v>9</v>
      </c>
      <c r="I381" s="63" t="s">
        <v>487</v>
      </c>
    </row>
    <row r="382" spans="1:9" ht="18" x14ac:dyDescent="0.3">
      <c r="A382" s="8" t="s">
        <v>598</v>
      </c>
      <c r="B382" s="8"/>
      <c r="C382" s="10" t="s">
        <v>599</v>
      </c>
      <c r="D382" s="11">
        <v>1141</v>
      </c>
      <c r="E382" s="11">
        <f t="shared" si="123"/>
        <v>759.63215999999989</v>
      </c>
      <c r="F382" s="13">
        <f t="shared" si="124"/>
        <v>950</v>
      </c>
      <c r="G382" s="13"/>
      <c r="H382" s="8" t="s">
        <v>9</v>
      </c>
      <c r="I382" s="63" t="s">
        <v>487</v>
      </c>
    </row>
    <row r="383" spans="1:9" ht="18" x14ac:dyDescent="0.3">
      <c r="A383" s="8" t="s">
        <v>600</v>
      </c>
      <c r="B383" s="8"/>
      <c r="C383" s="10" t="s">
        <v>601</v>
      </c>
      <c r="D383" s="11">
        <v>1219</v>
      </c>
      <c r="E383" s="11">
        <f t="shared" si="123"/>
        <v>811.56143999999995</v>
      </c>
      <c r="F383" s="13">
        <f t="shared" si="124"/>
        <v>1020</v>
      </c>
      <c r="G383" s="13"/>
      <c r="H383" s="8" t="s">
        <v>9</v>
      </c>
      <c r="I383" s="63" t="s">
        <v>487</v>
      </c>
    </row>
    <row r="384" spans="1:9" ht="18" x14ac:dyDescent="0.3">
      <c r="A384" s="8" t="s">
        <v>602</v>
      </c>
      <c r="B384" s="8"/>
      <c r="C384" s="10" t="s">
        <v>603</v>
      </c>
      <c r="D384" s="11">
        <v>1344</v>
      </c>
      <c r="E384" s="11">
        <f t="shared" si="123"/>
        <v>894.78143999999998</v>
      </c>
      <c r="F384" s="13">
        <f t="shared" si="124"/>
        <v>1120</v>
      </c>
      <c r="G384" s="13"/>
      <c r="H384" s="8" t="s">
        <v>9</v>
      </c>
      <c r="I384" s="63" t="s">
        <v>487</v>
      </c>
    </row>
    <row r="385" spans="1:9" ht="18" x14ac:dyDescent="0.3">
      <c r="A385" s="8" t="s">
        <v>604</v>
      </c>
      <c r="B385" s="8"/>
      <c r="C385" s="10" t="s">
        <v>605</v>
      </c>
      <c r="D385" s="11">
        <v>1309</v>
      </c>
      <c r="E385" s="11">
        <f t="shared" si="123"/>
        <v>871.47983999999985</v>
      </c>
      <c r="F385" s="13">
        <f t="shared" si="124"/>
        <v>1090</v>
      </c>
      <c r="G385" s="13"/>
      <c r="H385" s="8" t="s">
        <v>9</v>
      </c>
      <c r="I385" s="63" t="s">
        <v>487</v>
      </c>
    </row>
    <row r="386" spans="1:9" ht="18" x14ac:dyDescent="0.3">
      <c r="A386" s="8" t="s">
        <v>606</v>
      </c>
      <c r="B386" s="8"/>
      <c r="C386" s="10" t="s">
        <v>607</v>
      </c>
      <c r="D386" s="11">
        <v>1502</v>
      </c>
      <c r="E386" s="11">
        <f t="shared" si="123"/>
        <v>999.97151999999994</v>
      </c>
      <c r="F386" s="13">
        <f t="shared" si="124"/>
        <v>1250</v>
      </c>
      <c r="G386" s="13"/>
      <c r="H386" s="8" t="s">
        <v>9</v>
      </c>
      <c r="I386" s="63" t="s">
        <v>487</v>
      </c>
    </row>
    <row r="387" spans="1:9" ht="18" x14ac:dyDescent="0.3">
      <c r="A387" s="8" t="s">
        <v>608</v>
      </c>
      <c r="B387" s="8"/>
      <c r="C387" s="10" t="s">
        <v>609</v>
      </c>
      <c r="D387" s="11">
        <v>1649</v>
      </c>
      <c r="E387" s="11">
        <f t="shared" si="123"/>
        <v>1097.83824</v>
      </c>
      <c r="F387" s="13">
        <f t="shared" si="124"/>
        <v>1380</v>
      </c>
      <c r="G387" s="13"/>
      <c r="H387" s="8" t="s">
        <v>9</v>
      </c>
      <c r="I387" s="63" t="s">
        <v>487</v>
      </c>
    </row>
    <row r="388" spans="1:9" ht="14.4" customHeight="1" x14ac:dyDescent="0.3">
      <c r="A388" s="8" t="s">
        <v>610</v>
      </c>
      <c r="B388" s="8"/>
      <c r="C388" s="10" t="s">
        <v>611</v>
      </c>
      <c r="D388" s="11">
        <v>429</v>
      </c>
      <c r="E388" s="11">
        <f t="shared" ref="E388:E395" si="125">D388*0.73*0.95*0.96</f>
        <v>285.61104</v>
      </c>
      <c r="F388" s="13">
        <f t="shared" ref="F388:F395" si="126">ROUNDUP((E388*1.25),-1)</f>
        <v>360</v>
      </c>
      <c r="G388" s="13"/>
      <c r="H388" s="8" t="s">
        <v>9</v>
      </c>
      <c r="I388" s="63" t="s">
        <v>487</v>
      </c>
    </row>
    <row r="389" spans="1:9" ht="18" x14ac:dyDescent="0.3">
      <c r="A389" s="8" t="s">
        <v>612</v>
      </c>
      <c r="B389" s="8"/>
      <c r="C389" s="10" t="s">
        <v>613</v>
      </c>
      <c r="D389" s="11">
        <v>498</v>
      </c>
      <c r="E389" s="11">
        <f t="shared" si="125"/>
        <v>331.54847999999993</v>
      </c>
      <c r="F389" s="13">
        <f t="shared" si="126"/>
        <v>420</v>
      </c>
      <c r="G389" s="13"/>
      <c r="H389" s="8" t="s">
        <v>9</v>
      </c>
      <c r="I389" s="63" t="s">
        <v>487</v>
      </c>
    </row>
    <row r="390" spans="1:9" ht="18" x14ac:dyDescent="0.3">
      <c r="A390" s="8" t="s">
        <v>614</v>
      </c>
      <c r="B390" s="8"/>
      <c r="C390" s="10" t="s">
        <v>615</v>
      </c>
      <c r="D390" s="11">
        <v>540</v>
      </c>
      <c r="E390" s="11">
        <f t="shared" si="125"/>
        <v>359.51039999999995</v>
      </c>
      <c r="F390" s="13">
        <f t="shared" si="126"/>
        <v>450</v>
      </c>
      <c r="G390" s="13"/>
      <c r="H390" s="8" t="s">
        <v>9</v>
      </c>
      <c r="I390" s="63" t="s">
        <v>487</v>
      </c>
    </row>
    <row r="391" spans="1:9" ht="18" x14ac:dyDescent="0.3">
      <c r="A391" s="8" t="s">
        <v>616</v>
      </c>
      <c r="B391" s="8"/>
      <c r="C391" s="10" t="s">
        <v>617</v>
      </c>
      <c r="D391" s="11">
        <v>664</v>
      </c>
      <c r="E391" s="11">
        <f t="shared" si="125"/>
        <v>442.06463999999988</v>
      </c>
      <c r="F391" s="13">
        <f t="shared" si="126"/>
        <v>560</v>
      </c>
      <c r="G391" s="13"/>
      <c r="H391" s="8" t="s">
        <v>9</v>
      </c>
      <c r="I391" s="63" t="s">
        <v>487</v>
      </c>
    </row>
    <row r="392" spans="1:9" ht="14.4" customHeight="1" x14ac:dyDescent="0.3">
      <c r="A392" s="8" t="s">
        <v>618</v>
      </c>
      <c r="B392" s="8"/>
      <c r="C392" s="10" t="s">
        <v>619</v>
      </c>
      <c r="D392" s="11">
        <v>475</v>
      </c>
      <c r="E392" s="11">
        <f t="shared" si="125"/>
        <v>316.23599999999993</v>
      </c>
      <c r="F392" s="13">
        <f t="shared" si="126"/>
        <v>400</v>
      </c>
      <c r="G392" s="13"/>
      <c r="H392" s="8" t="s">
        <v>9</v>
      </c>
      <c r="I392" s="63" t="s">
        <v>487</v>
      </c>
    </row>
    <row r="393" spans="1:9" ht="18" x14ac:dyDescent="0.3">
      <c r="A393" s="8" t="s">
        <v>620</v>
      </c>
      <c r="B393" s="8"/>
      <c r="C393" s="10" t="s">
        <v>621</v>
      </c>
      <c r="D393" s="11">
        <v>536</v>
      </c>
      <c r="E393" s="11">
        <f t="shared" si="125"/>
        <v>356.84735999999992</v>
      </c>
      <c r="F393" s="13">
        <f t="shared" si="126"/>
        <v>450</v>
      </c>
      <c r="G393" s="13"/>
      <c r="H393" s="8" t="s">
        <v>9</v>
      </c>
      <c r="I393" s="63" t="s">
        <v>487</v>
      </c>
    </row>
    <row r="394" spans="1:9" ht="18" x14ac:dyDescent="0.3">
      <c r="A394" s="8" t="s">
        <v>622</v>
      </c>
      <c r="B394" s="8"/>
      <c r="C394" s="10" t="s">
        <v>623</v>
      </c>
      <c r="D394" s="11">
        <v>591</v>
      </c>
      <c r="E394" s="11">
        <f t="shared" si="125"/>
        <v>393.46415999999999</v>
      </c>
      <c r="F394" s="13">
        <f t="shared" si="126"/>
        <v>500</v>
      </c>
      <c r="G394" s="13"/>
      <c r="H394" s="8" t="s">
        <v>9</v>
      </c>
      <c r="I394" s="63" t="s">
        <v>487</v>
      </c>
    </row>
    <row r="395" spans="1:9" ht="18" x14ac:dyDescent="0.3">
      <c r="A395" s="8" t="s">
        <v>624</v>
      </c>
      <c r="B395" s="8"/>
      <c r="C395" s="10" t="s">
        <v>625</v>
      </c>
      <c r="D395" s="11">
        <v>698</v>
      </c>
      <c r="E395" s="11">
        <f t="shared" si="125"/>
        <v>464.70047999999991</v>
      </c>
      <c r="F395" s="13">
        <f t="shared" si="126"/>
        <v>590</v>
      </c>
      <c r="G395" s="13"/>
      <c r="H395" s="8" t="s">
        <v>9</v>
      </c>
      <c r="I395" s="63" t="s">
        <v>487</v>
      </c>
    </row>
    <row r="396" spans="1:9" ht="14.4" customHeight="1" x14ac:dyDescent="0.3">
      <c r="A396" s="8" t="s">
        <v>626</v>
      </c>
      <c r="B396" s="8"/>
      <c r="C396" s="10" t="s">
        <v>627</v>
      </c>
      <c r="D396" s="11">
        <v>451</v>
      </c>
      <c r="E396" s="11">
        <f t="shared" ref="E396:E403" si="127">D396*0.73*0.95*0.96</f>
        <v>300.25776000000002</v>
      </c>
      <c r="F396" s="13">
        <f t="shared" ref="F396:F403" si="128">ROUNDUP((E396*1.25),-1)</f>
        <v>380</v>
      </c>
      <c r="G396" s="13"/>
      <c r="H396" s="8" t="s">
        <v>9</v>
      </c>
      <c r="I396" s="63" t="s">
        <v>487</v>
      </c>
    </row>
    <row r="397" spans="1:9" ht="18" x14ac:dyDescent="0.3">
      <c r="A397" s="8" t="s">
        <v>628</v>
      </c>
      <c r="B397" s="8"/>
      <c r="C397" s="10" t="s">
        <v>629</v>
      </c>
      <c r="D397" s="11">
        <v>524</v>
      </c>
      <c r="E397" s="11">
        <f t="shared" si="127"/>
        <v>348.85823999999991</v>
      </c>
      <c r="F397" s="13">
        <f t="shared" si="128"/>
        <v>440</v>
      </c>
      <c r="G397" s="13"/>
      <c r="H397" s="8" t="s">
        <v>9</v>
      </c>
      <c r="I397" s="63" t="s">
        <v>487</v>
      </c>
    </row>
    <row r="398" spans="1:9" ht="18" x14ac:dyDescent="0.3">
      <c r="A398" s="8" t="s">
        <v>630</v>
      </c>
      <c r="B398" s="8"/>
      <c r="C398" s="10" t="s">
        <v>631</v>
      </c>
      <c r="D398" s="11">
        <v>567</v>
      </c>
      <c r="E398" s="11">
        <f t="shared" si="127"/>
        <v>377.48591999999991</v>
      </c>
      <c r="F398" s="13">
        <f t="shared" si="128"/>
        <v>480</v>
      </c>
      <c r="G398" s="13"/>
      <c r="H398" s="8" t="s">
        <v>9</v>
      </c>
      <c r="I398" s="63" t="s">
        <v>487</v>
      </c>
    </row>
    <row r="399" spans="1:9" ht="18" x14ac:dyDescent="0.3">
      <c r="A399" s="8" t="s">
        <v>632</v>
      </c>
      <c r="B399" s="8"/>
      <c r="C399" s="10" t="s">
        <v>633</v>
      </c>
      <c r="D399" s="11">
        <v>697</v>
      </c>
      <c r="E399" s="11">
        <f t="shared" si="127"/>
        <v>464.03471999999994</v>
      </c>
      <c r="F399" s="13">
        <f t="shared" si="128"/>
        <v>590</v>
      </c>
      <c r="G399" s="13"/>
      <c r="H399" s="8" t="s">
        <v>9</v>
      </c>
      <c r="I399" s="63" t="s">
        <v>487</v>
      </c>
    </row>
    <row r="400" spans="1:9" ht="14.4" customHeight="1" x14ac:dyDescent="0.3">
      <c r="A400" s="8" t="s">
        <v>634</v>
      </c>
      <c r="B400" s="8"/>
      <c r="C400" s="10" t="s">
        <v>635</v>
      </c>
      <c r="D400" s="11">
        <v>498</v>
      </c>
      <c r="E400" s="11">
        <f t="shared" si="127"/>
        <v>331.54847999999993</v>
      </c>
      <c r="F400" s="13">
        <f t="shared" si="128"/>
        <v>420</v>
      </c>
      <c r="G400" s="13"/>
      <c r="H400" s="8" t="s">
        <v>9</v>
      </c>
      <c r="I400" s="63" t="s">
        <v>487</v>
      </c>
    </row>
    <row r="401" spans="1:9" ht="18" x14ac:dyDescent="0.3">
      <c r="A401" s="8" t="s">
        <v>636</v>
      </c>
      <c r="B401" s="8"/>
      <c r="C401" s="10" t="s">
        <v>637</v>
      </c>
      <c r="D401" s="11">
        <v>563</v>
      </c>
      <c r="E401" s="11">
        <f t="shared" si="127"/>
        <v>374.82288</v>
      </c>
      <c r="F401" s="13">
        <f t="shared" si="128"/>
        <v>470</v>
      </c>
      <c r="G401" s="13"/>
      <c r="H401" s="8" t="s">
        <v>9</v>
      </c>
      <c r="I401" s="63" t="s">
        <v>487</v>
      </c>
    </row>
    <row r="402" spans="1:9" ht="18" x14ac:dyDescent="0.3">
      <c r="A402" s="8" t="s">
        <v>638</v>
      </c>
      <c r="B402" s="8"/>
      <c r="C402" s="10" t="s">
        <v>639</v>
      </c>
      <c r="D402" s="11">
        <v>621</v>
      </c>
      <c r="E402" s="11">
        <f t="shared" si="127"/>
        <v>413.43695999999994</v>
      </c>
      <c r="F402" s="13">
        <f t="shared" si="128"/>
        <v>520</v>
      </c>
      <c r="G402" s="13"/>
      <c r="H402" s="8" t="s">
        <v>9</v>
      </c>
      <c r="I402" s="63" t="s">
        <v>487</v>
      </c>
    </row>
    <row r="403" spans="1:9" ht="18" x14ac:dyDescent="0.3">
      <c r="A403" s="8" t="s">
        <v>640</v>
      </c>
      <c r="B403" s="8"/>
      <c r="C403" s="10" t="s">
        <v>641</v>
      </c>
      <c r="D403" s="11">
        <v>733</v>
      </c>
      <c r="E403" s="11">
        <f t="shared" si="127"/>
        <v>488.00207999999998</v>
      </c>
      <c r="F403" s="13">
        <f t="shared" si="128"/>
        <v>620</v>
      </c>
      <c r="G403" s="13"/>
      <c r="H403" s="8" t="s">
        <v>9</v>
      </c>
      <c r="I403" s="63" t="s">
        <v>487</v>
      </c>
    </row>
    <row r="404" spans="1:9" ht="14.4" customHeight="1" x14ac:dyDescent="0.3">
      <c r="A404" s="8" t="s">
        <v>642</v>
      </c>
      <c r="B404" s="8"/>
      <c r="C404" s="10" t="s">
        <v>643</v>
      </c>
      <c r="D404" s="11">
        <v>493</v>
      </c>
      <c r="E404" s="11">
        <f t="shared" ref="E404:E411" si="129">D404*0.73*0.95*0.96</f>
        <v>328.21967999999998</v>
      </c>
      <c r="F404" s="13">
        <f t="shared" ref="F404:F411" si="130">ROUNDUP((E404*1.25),-1)</f>
        <v>420</v>
      </c>
      <c r="G404" s="13"/>
      <c r="H404" s="8" t="s">
        <v>9</v>
      </c>
      <c r="I404" s="63" t="s">
        <v>487</v>
      </c>
    </row>
    <row r="405" spans="1:9" ht="18" x14ac:dyDescent="0.3">
      <c r="A405" s="8" t="s">
        <v>644</v>
      </c>
      <c r="B405" s="8"/>
      <c r="C405" s="10" t="s">
        <v>645</v>
      </c>
      <c r="D405" s="11">
        <v>572</v>
      </c>
      <c r="E405" s="11">
        <f t="shared" si="129"/>
        <v>380.81471999999997</v>
      </c>
      <c r="F405" s="13">
        <f t="shared" si="130"/>
        <v>480</v>
      </c>
      <c r="G405" s="13"/>
      <c r="H405" s="8" t="s">
        <v>9</v>
      </c>
      <c r="I405" s="63" t="s">
        <v>487</v>
      </c>
    </row>
    <row r="406" spans="1:9" ht="18" x14ac:dyDescent="0.3">
      <c r="A406" s="8" t="s">
        <v>646</v>
      </c>
      <c r="B406" s="8"/>
      <c r="C406" s="10" t="s">
        <v>647</v>
      </c>
      <c r="D406" s="11">
        <v>621</v>
      </c>
      <c r="E406" s="11">
        <f t="shared" si="129"/>
        <v>413.43695999999994</v>
      </c>
      <c r="F406" s="13">
        <f t="shared" si="130"/>
        <v>520</v>
      </c>
      <c r="G406" s="13"/>
      <c r="H406" s="8" t="s">
        <v>9</v>
      </c>
      <c r="I406" s="63" t="s">
        <v>487</v>
      </c>
    </row>
    <row r="407" spans="1:9" ht="18" x14ac:dyDescent="0.3">
      <c r="A407" s="8" t="s">
        <v>648</v>
      </c>
      <c r="B407" s="8"/>
      <c r="C407" s="10" t="s">
        <v>649</v>
      </c>
      <c r="D407" s="11">
        <v>764</v>
      </c>
      <c r="E407" s="11">
        <f t="shared" si="129"/>
        <v>508.64063999999991</v>
      </c>
      <c r="F407" s="13">
        <f t="shared" si="130"/>
        <v>640</v>
      </c>
      <c r="G407" s="13"/>
      <c r="H407" s="8" t="s">
        <v>9</v>
      </c>
      <c r="I407" s="63" t="s">
        <v>487</v>
      </c>
    </row>
    <row r="408" spans="1:9" ht="14.4" customHeight="1" x14ac:dyDescent="0.3">
      <c r="A408" s="8" t="s">
        <v>650</v>
      </c>
      <c r="B408" s="8"/>
      <c r="C408" s="10" t="s">
        <v>651</v>
      </c>
      <c r="D408" s="11">
        <v>545</v>
      </c>
      <c r="E408" s="11">
        <f t="shared" si="129"/>
        <v>362.83919999999989</v>
      </c>
      <c r="F408" s="13">
        <f t="shared" si="130"/>
        <v>460</v>
      </c>
      <c r="G408" s="13"/>
      <c r="H408" s="8" t="s">
        <v>9</v>
      </c>
      <c r="I408" s="63" t="s">
        <v>487</v>
      </c>
    </row>
    <row r="409" spans="1:9" ht="18" x14ac:dyDescent="0.3">
      <c r="A409" s="8" t="s">
        <v>652</v>
      </c>
      <c r="B409" s="8"/>
      <c r="C409" s="10" t="s">
        <v>653</v>
      </c>
      <c r="D409" s="11">
        <v>616</v>
      </c>
      <c r="E409" s="11">
        <f t="shared" si="129"/>
        <v>410.10815999999994</v>
      </c>
      <c r="F409" s="13">
        <f t="shared" si="130"/>
        <v>520</v>
      </c>
      <c r="G409" s="13"/>
      <c r="H409" s="8" t="s">
        <v>9</v>
      </c>
      <c r="I409" s="63" t="s">
        <v>487</v>
      </c>
    </row>
    <row r="410" spans="1:9" ht="18" x14ac:dyDescent="0.3">
      <c r="A410" s="8" t="s">
        <v>654</v>
      </c>
      <c r="B410" s="8"/>
      <c r="C410" s="10" t="s">
        <v>655</v>
      </c>
      <c r="D410" s="11">
        <v>681</v>
      </c>
      <c r="E410" s="11">
        <f t="shared" si="129"/>
        <v>453.38255999999996</v>
      </c>
      <c r="F410" s="13">
        <f t="shared" si="130"/>
        <v>570</v>
      </c>
      <c r="G410" s="13"/>
      <c r="H410" s="8" t="s">
        <v>9</v>
      </c>
      <c r="I410" s="63" t="s">
        <v>487</v>
      </c>
    </row>
    <row r="411" spans="1:9" ht="18" x14ac:dyDescent="0.3">
      <c r="A411" s="8" t="s">
        <v>656</v>
      </c>
      <c r="B411" s="8"/>
      <c r="C411" s="10" t="s">
        <v>657</v>
      </c>
      <c r="D411" s="11">
        <v>803</v>
      </c>
      <c r="E411" s="11">
        <f t="shared" si="129"/>
        <v>534.60527999999988</v>
      </c>
      <c r="F411" s="13">
        <f t="shared" si="130"/>
        <v>670</v>
      </c>
      <c r="G411" s="13"/>
      <c r="H411" s="8" t="s">
        <v>9</v>
      </c>
      <c r="I411" s="63" t="s">
        <v>487</v>
      </c>
    </row>
    <row r="412" spans="1:9" ht="18" x14ac:dyDescent="0.3">
      <c r="A412" s="8" t="s">
        <v>658</v>
      </c>
      <c r="B412" s="8"/>
      <c r="C412" s="10" t="s">
        <v>659</v>
      </c>
      <c r="D412" s="11">
        <v>251</v>
      </c>
      <c r="E412" s="11">
        <f t="shared" ref="E412:E419" si="131">D412*0.73*0.95*0.96</f>
        <v>167.10575999999998</v>
      </c>
      <c r="F412" s="13">
        <f t="shared" ref="F412:F419" si="132">ROUNDUP((E412*1.25),-1)</f>
        <v>210</v>
      </c>
      <c r="G412" s="13"/>
      <c r="H412" s="8" t="s">
        <v>9</v>
      </c>
      <c r="I412" s="63" t="s">
        <v>487</v>
      </c>
    </row>
    <row r="413" spans="1:9" ht="18" x14ac:dyDescent="0.3">
      <c r="A413" s="8" t="s">
        <v>660</v>
      </c>
      <c r="B413" s="8"/>
      <c r="C413" s="10" t="s">
        <v>661</v>
      </c>
      <c r="D413" s="11">
        <v>289</v>
      </c>
      <c r="E413" s="11">
        <f t="shared" si="131"/>
        <v>192.40463999999997</v>
      </c>
      <c r="F413" s="13">
        <f t="shared" si="132"/>
        <v>250</v>
      </c>
      <c r="G413" s="13"/>
      <c r="H413" s="8" t="s">
        <v>9</v>
      </c>
      <c r="I413" s="63" t="s">
        <v>487</v>
      </c>
    </row>
    <row r="414" spans="1:9" ht="18" x14ac:dyDescent="0.3">
      <c r="A414" s="8" t="s">
        <v>662</v>
      </c>
      <c r="B414" s="8"/>
      <c r="C414" s="10" t="s">
        <v>663</v>
      </c>
      <c r="D414" s="11">
        <v>369</v>
      </c>
      <c r="E414" s="11">
        <f t="shared" si="131"/>
        <v>245.66543999999999</v>
      </c>
      <c r="F414" s="13">
        <f t="shared" si="132"/>
        <v>310</v>
      </c>
      <c r="G414" s="13"/>
      <c r="H414" s="8" t="s">
        <v>9</v>
      </c>
      <c r="I414" s="63" t="s">
        <v>487</v>
      </c>
    </row>
    <row r="415" spans="1:9" ht="18" x14ac:dyDescent="0.3">
      <c r="A415" s="8" t="s">
        <v>664</v>
      </c>
      <c r="B415" s="8"/>
      <c r="C415" s="10" t="s">
        <v>665</v>
      </c>
      <c r="D415" s="11">
        <v>445</v>
      </c>
      <c r="E415" s="11">
        <f t="shared" si="131"/>
        <v>296.26319999999993</v>
      </c>
      <c r="F415" s="13">
        <f t="shared" si="132"/>
        <v>380</v>
      </c>
      <c r="G415" s="13"/>
      <c r="H415" s="8" t="s">
        <v>9</v>
      </c>
      <c r="I415" s="63" t="s">
        <v>487</v>
      </c>
    </row>
    <row r="416" spans="1:9" ht="18" x14ac:dyDescent="0.3">
      <c r="A416" s="8" t="s">
        <v>666</v>
      </c>
      <c r="B416" s="8"/>
      <c r="C416" s="10" t="s">
        <v>667</v>
      </c>
      <c r="D416" s="11">
        <v>295</v>
      </c>
      <c r="E416" s="11">
        <f t="shared" si="131"/>
        <v>196.39919999999998</v>
      </c>
      <c r="F416" s="13">
        <f t="shared" si="132"/>
        <v>250</v>
      </c>
      <c r="G416" s="13"/>
      <c r="H416" s="8" t="s">
        <v>9</v>
      </c>
      <c r="I416" s="63" t="s">
        <v>487</v>
      </c>
    </row>
    <row r="417" spans="1:9" ht="18" x14ac:dyDescent="0.3">
      <c r="A417" s="8" t="s">
        <v>668</v>
      </c>
      <c r="B417" s="8"/>
      <c r="C417" s="10" t="s">
        <v>669</v>
      </c>
      <c r="D417" s="11">
        <v>338</v>
      </c>
      <c r="E417" s="11">
        <f t="shared" si="131"/>
        <v>225.02687999999995</v>
      </c>
      <c r="F417" s="13">
        <f t="shared" si="132"/>
        <v>290</v>
      </c>
      <c r="G417" s="13"/>
      <c r="H417" s="8" t="s">
        <v>9</v>
      </c>
      <c r="I417" s="63" t="s">
        <v>487</v>
      </c>
    </row>
    <row r="418" spans="1:9" ht="18" x14ac:dyDescent="0.3">
      <c r="A418" s="8" t="s">
        <v>670</v>
      </c>
      <c r="B418" s="8"/>
      <c r="C418" s="10" t="s">
        <v>671</v>
      </c>
      <c r="D418" s="11">
        <v>433</v>
      </c>
      <c r="E418" s="11">
        <f t="shared" si="131"/>
        <v>288.27407999999997</v>
      </c>
      <c r="F418" s="13">
        <f t="shared" si="132"/>
        <v>370</v>
      </c>
      <c r="G418" s="13"/>
      <c r="H418" s="8" t="s">
        <v>9</v>
      </c>
      <c r="I418" s="63" t="s">
        <v>487</v>
      </c>
    </row>
    <row r="419" spans="1:9" ht="18" x14ac:dyDescent="0.3">
      <c r="A419" s="8" t="s">
        <v>672</v>
      </c>
      <c r="B419" s="8"/>
      <c r="C419" s="10" t="s">
        <v>673</v>
      </c>
      <c r="D419" s="11">
        <v>524</v>
      </c>
      <c r="E419" s="11">
        <f t="shared" si="131"/>
        <v>348.85823999999991</v>
      </c>
      <c r="F419" s="13">
        <f t="shared" si="132"/>
        <v>440</v>
      </c>
      <c r="G419" s="13"/>
      <c r="H419" s="8" t="s">
        <v>9</v>
      </c>
      <c r="I419" s="63" t="s">
        <v>487</v>
      </c>
    </row>
    <row r="420" spans="1:9" ht="18" x14ac:dyDescent="0.3">
      <c r="A420" s="8" t="s">
        <v>674</v>
      </c>
      <c r="B420" s="8"/>
      <c r="C420" s="10" t="s">
        <v>675</v>
      </c>
      <c r="D420" s="11">
        <v>143</v>
      </c>
      <c r="E420" s="11">
        <f t="shared" ref="E420:E421" si="133">D420*0.73*0.95*0.96</f>
        <v>95.203679999999991</v>
      </c>
      <c r="F420" s="13">
        <f t="shared" ref="F420:F421" si="134">ROUNDUP((E420*1.25),-1)</f>
        <v>120</v>
      </c>
      <c r="G420" s="13"/>
      <c r="H420" s="8" t="s">
        <v>9</v>
      </c>
      <c r="I420" s="63" t="s">
        <v>487</v>
      </c>
    </row>
    <row r="421" spans="1:9" ht="18" x14ac:dyDescent="0.3">
      <c r="A421" s="8" t="s">
        <v>676</v>
      </c>
      <c r="B421" s="8"/>
      <c r="C421" s="10" t="s">
        <v>677</v>
      </c>
      <c r="D421" s="11">
        <v>160</v>
      </c>
      <c r="E421" s="11">
        <f t="shared" si="133"/>
        <v>106.52159999999999</v>
      </c>
      <c r="F421" s="13">
        <f t="shared" si="134"/>
        <v>140</v>
      </c>
      <c r="G421" s="13"/>
      <c r="H421" s="8" t="s">
        <v>9</v>
      </c>
      <c r="I421" s="63" t="s">
        <v>487</v>
      </c>
    </row>
    <row r="422" spans="1:9" ht="18" x14ac:dyDescent="0.3">
      <c r="A422" s="8" t="s">
        <v>678</v>
      </c>
      <c r="B422" s="8"/>
      <c r="C422" s="10" t="s">
        <v>679</v>
      </c>
      <c r="D422" s="11">
        <v>73</v>
      </c>
      <c r="E422" s="11">
        <f t="shared" ref="E422:E423" si="135">D422*0.73*0.95</f>
        <v>50.625499999999995</v>
      </c>
      <c r="F422" s="13">
        <f t="shared" ref="F422:F423" si="136">ROUNDUP((E422*1.18),-1)</f>
        <v>60</v>
      </c>
      <c r="G422" s="13"/>
      <c r="H422" s="8" t="s">
        <v>9</v>
      </c>
      <c r="I422" s="23" t="s">
        <v>61</v>
      </c>
    </row>
    <row r="423" spans="1:9" ht="18" x14ac:dyDescent="0.3">
      <c r="A423" s="8" t="s">
        <v>680</v>
      </c>
      <c r="B423" s="8"/>
      <c r="C423" s="10" t="s">
        <v>681</v>
      </c>
      <c r="D423" s="11">
        <v>76</v>
      </c>
      <c r="E423" s="11">
        <f t="shared" si="135"/>
        <v>52.705999999999996</v>
      </c>
      <c r="F423" s="13">
        <f t="shared" si="136"/>
        <v>70</v>
      </c>
      <c r="G423" s="13"/>
      <c r="H423" s="8" t="s">
        <v>9</v>
      </c>
      <c r="I423" s="23" t="s">
        <v>61</v>
      </c>
    </row>
    <row r="424" spans="1:9" ht="18" x14ac:dyDescent="0.3">
      <c r="A424" s="50" t="s">
        <v>682</v>
      </c>
      <c r="B424" s="50"/>
      <c r="C424" s="18" t="s">
        <v>683</v>
      </c>
      <c r="D424" s="11">
        <v>50</v>
      </c>
      <c r="E424" s="11">
        <f t="shared" ref="E424:E428" si="137">D424*0.73*0.95</f>
        <v>34.674999999999997</v>
      </c>
      <c r="F424" s="13">
        <f t="shared" ref="F424:F428" si="138">ROUNDUP((E424*1.18),-1)</f>
        <v>50</v>
      </c>
      <c r="G424" s="13"/>
      <c r="H424" s="21" t="s">
        <v>9</v>
      </c>
      <c r="I424" s="23" t="s">
        <v>61</v>
      </c>
    </row>
    <row r="425" spans="1:9" ht="18" x14ac:dyDescent="0.3">
      <c r="A425" s="21" t="s">
        <v>684</v>
      </c>
      <c r="B425" s="21"/>
      <c r="C425" s="18" t="s">
        <v>685</v>
      </c>
      <c r="D425" s="11">
        <v>32</v>
      </c>
      <c r="E425" s="11">
        <f t="shared" si="137"/>
        <v>22.192</v>
      </c>
      <c r="F425" s="13">
        <f t="shared" si="138"/>
        <v>30</v>
      </c>
      <c r="G425" s="13"/>
      <c r="H425" s="21" t="s">
        <v>9</v>
      </c>
      <c r="I425" s="23" t="s">
        <v>61</v>
      </c>
    </row>
    <row r="426" spans="1:9" ht="18" x14ac:dyDescent="0.3">
      <c r="A426" s="21" t="s">
        <v>686</v>
      </c>
      <c r="B426" s="21"/>
      <c r="C426" s="18" t="s">
        <v>687</v>
      </c>
      <c r="D426" s="11">
        <v>45</v>
      </c>
      <c r="E426" s="11">
        <f t="shared" si="137"/>
        <v>31.2075</v>
      </c>
      <c r="F426" s="13">
        <f t="shared" si="138"/>
        <v>40</v>
      </c>
      <c r="G426" s="13"/>
      <c r="H426" s="21" t="s">
        <v>9</v>
      </c>
      <c r="I426" s="23" t="s">
        <v>61</v>
      </c>
    </row>
    <row r="427" spans="1:9" ht="18" x14ac:dyDescent="0.3">
      <c r="A427" s="21" t="s">
        <v>688</v>
      </c>
      <c r="B427" s="21"/>
      <c r="C427" s="18" t="s">
        <v>689</v>
      </c>
      <c r="D427" s="11">
        <v>32</v>
      </c>
      <c r="E427" s="11">
        <f t="shared" si="137"/>
        <v>22.192</v>
      </c>
      <c r="F427" s="13">
        <f t="shared" si="138"/>
        <v>30</v>
      </c>
      <c r="G427" s="13"/>
      <c r="H427" s="21" t="s">
        <v>9</v>
      </c>
      <c r="I427" s="23" t="s">
        <v>61</v>
      </c>
    </row>
    <row r="428" spans="1:9" ht="18" x14ac:dyDescent="0.3">
      <c r="A428" s="77" t="s">
        <v>690</v>
      </c>
      <c r="B428" s="21"/>
      <c r="C428" s="18" t="s">
        <v>691</v>
      </c>
      <c r="D428" s="11">
        <v>114</v>
      </c>
      <c r="E428" s="11">
        <f t="shared" si="137"/>
        <v>79.058999999999997</v>
      </c>
      <c r="F428" s="13">
        <f t="shared" si="138"/>
        <v>100</v>
      </c>
      <c r="G428" s="13"/>
      <c r="H428" s="21" t="s">
        <v>9</v>
      </c>
      <c r="I428" s="82" t="s">
        <v>61</v>
      </c>
    </row>
    <row r="429" spans="1:9" ht="18" x14ac:dyDescent="0.3">
      <c r="A429" s="76" t="s">
        <v>693</v>
      </c>
      <c r="B429" s="83" t="s">
        <v>1024</v>
      </c>
      <c r="C429" s="32" t="s">
        <v>694</v>
      </c>
      <c r="D429" s="69">
        <v>2414</v>
      </c>
      <c r="E429" s="11">
        <f>D429*0.65*0.95</f>
        <v>1490.645</v>
      </c>
      <c r="F429" s="13">
        <f>ROUNDUP((E429*1.25),-1)</f>
        <v>1870</v>
      </c>
      <c r="G429" s="13">
        <v>160</v>
      </c>
      <c r="H429" s="21" t="s">
        <v>692</v>
      </c>
      <c r="I429" s="84" t="s">
        <v>1020</v>
      </c>
    </row>
    <row r="430" spans="1:9" ht="18" x14ac:dyDescent="0.3">
      <c r="A430" s="76" t="s">
        <v>695</v>
      </c>
      <c r="B430" s="83" t="s">
        <v>1024</v>
      </c>
      <c r="C430" s="32" t="s">
        <v>696</v>
      </c>
      <c r="D430" s="69">
        <v>2488</v>
      </c>
      <c r="E430" s="11">
        <f t="shared" ref="E430:E493" si="139">D430*0.65*0.95</f>
        <v>1536.34</v>
      </c>
      <c r="F430" s="13">
        <f t="shared" ref="F430:F493" si="140">ROUNDUP((E430*1.25),-1)</f>
        <v>1930</v>
      </c>
      <c r="G430" s="13">
        <v>160</v>
      </c>
      <c r="H430" s="21" t="s">
        <v>692</v>
      </c>
      <c r="I430" s="84" t="s">
        <v>1020</v>
      </c>
    </row>
    <row r="431" spans="1:9" ht="18" x14ac:dyDescent="0.3">
      <c r="A431" s="73" t="s">
        <v>697</v>
      </c>
      <c r="B431" s="83" t="s">
        <v>1024</v>
      </c>
      <c r="C431" s="32" t="s">
        <v>698</v>
      </c>
      <c r="D431" s="69">
        <v>2561</v>
      </c>
      <c r="E431" s="11">
        <f t="shared" si="139"/>
        <v>1581.4175</v>
      </c>
      <c r="F431" s="13">
        <f t="shared" si="140"/>
        <v>1980</v>
      </c>
      <c r="G431" s="13">
        <v>160</v>
      </c>
      <c r="H431" s="21" t="s">
        <v>692</v>
      </c>
      <c r="I431" s="84" t="s">
        <v>1020</v>
      </c>
    </row>
    <row r="432" spans="1:9" ht="18" x14ac:dyDescent="0.3">
      <c r="A432" s="73" t="s">
        <v>699</v>
      </c>
      <c r="B432" s="83" t="s">
        <v>1024</v>
      </c>
      <c r="C432" s="32" t="s">
        <v>700</v>
      </c>
      <c r="D432" s="69">
        <v>2676</v>
      </c>
      <c r="E432" s="11">
        <f t="shared" si="139"/>
        <v>1652.43</v>
      </c>
      <c r="F432" s="13">
        <f t="shared" si="140"/>
        <v>2070</v>
      </c>
      <c r="G432" s="13">
        <v>160</v>
      </c>
      <c r="H432" s="21" t="s">
        <v>692</v>
      </c>
      <c r="I432" s="84" t="s">
        <v>1020</v>
      </c>
    </row>
    <row r="433" spans="1:9" ht="18" x14ac:dyDescent="0.3">
      <c r="A433" s="73" t="s">
        <v>701</v>
      </c>
      <c r="B433" s="83" t="s">
        <v>1024</v>
      </c>
      <c r="C433" s="32" t="s">
        <v>702</v>
      </c>
      <c r="D433" s="69">
        <v>2770</v>
      </c>
      <c r="E433" s="11">
        <f t="shared" si="139"/>
        <v>1710.4749999999999</v>
      </c>
      <c r="F433" s="13">
        <f t="shared" si="140"/>
        <v>2140</v>
      </c>
      <c r="G433" s="13">
        <v>160</v>
      </c>
      <c r="H433" s="21" t="s">
        <v>692</v>
      </c>
      <c r="I433" s="84" t="s">
        <v>1020</v>
      </c>
    </row>
    <row r="434" spans="1:9" ht="18" x14ac:dyDescent="0.3">
      <c r="A434" s="76" t="s">
        <v>704</v>
      </c>
      <c r="B434" s="83" t="s">
        <v>1024</v>
      </c>
      <c r="C434" s="32" t="s">
        <v>705</v>
      </c>
      <c r="D434" s="69">
        <v>2717</v>
      </c>
      <c r="E434" s="11">
        <f t="shared" si="139"/>
        <v>1677.7474999999999</v>
      </c>
      <c r="F434" s="13">
        <f t="shared" si="140"/>
        <v>2100</v>
      </c>
      <c r="G434" s="13">
        <v>160</v>
      </c>
      <c r="H434" s="21" t="s">
        <v>692</v>
      </c>
      <c r="I434" s="85" t="s">
        <v>1021</v>
      </c>
    </row>
    <row r="435" spans="1:9" ht="18" x14ac:dyDescent="0.3">
      <c r="A435" s="73" t="s">
        <v>706</v>
      </c>
      <c r="B435" s="83" t="s">
        <v>1024</v>
      </c>
      <c r="C435" s="32" t="s">
        <v>707</v>
      </c>
      <c r="D435" s="69">
        <v>2843</v>
      </c>
      <c r="E435" s="11">
        <f t="shared" si="139"/>
        <v>1755.5525</v>
      </c>
      <c r="F435" s="13">
        <f t="shared" si="140"/>
        <v>2200</v>
      </c>
      <c r="G435" s="13">
        <v>160</v>
      </c>
      <c r="H435" s="21" t="s">
        <v>692</v>
      </c>
      <c r="I435" s="85" t="s">
        <v>1021</v>
      </c>
    </row>
    <row r="436" spans="1:9" ht="18" x14ac:dyDescent="0.3">
      <c r="A436" s="73" t="s">
        <v>708</v>
      </c>
      <c r="B436" s="83" t="s">
        <v>1024</v>
      </c>
      <c r="C436" s="32" t="s">
        <v>709</v>
      </c>
      <c r="D436" s="69">
        <v>2989</v>
      </c>
      <c r="E436" s="11">
        <f t="shared" si="139"/>
        <v>1845.7075</v>
      </c>
      <c r="F436" s="13">
        <f t="shared" si="140"/>
        <v>2310</v>
      </c>
      <c r="G436" s="13">
        <v>160</v>
      </c>
      <c r="H436" s="21" t="s">
        <v>692</v>
      </c>
      <c r="I436" s="85" t="s">
        <v>1021</v>
      </c>
    </row>
    <row r="437" spans="1:9" ht="18" x14ac:dyDescent="0.3">
      <c r="A437" s="73" t="s">
        <v>710</v>
      </c>
      <c r="B437" s="83" t="s">
        <v>1024</v>
      </c>
      <c r="C437" s="32" t="s">
        <v>711</v>
      </c>
      <c r="D437" s="69">
        <v>3135</v>
      </c>
      <c r="E437" s="11">
        <f t="shared" si="139"/>
        <v>1935.8625</v>
      </c>
      <c r="F437" s="13">
        <f t="shared" si="140"/>
        <v>2420</v>
      </c>
      <c r="G437" s="13">
        <v>160</v>
      </c>
      <c r="H437" s="21" t="s">
        <v>692</v>
      </c>
      <c r="I437" s="85" t="s">
        <v>1021</v>
      </c>
    </row>
    <row r="438" spans="1:9" ht="18" x14ac:dyDescent="0.3">
      <c r="A438" s="73" t="s">
        <v>714</v>
      </c>
      <c r="B438" s="83" t="s">
        <v>1024</v>
      </c>
      <c r="C438" s="32" t="s">
        <v>715</v>
      </c>
      <c r="D438" s="69">
        <v>4306</v>
      </c>
      <c r="E438" s="11">
        <f t="shared" si="139"/>
        <v>2658.9549999999999</v>
      </c>
      <c r="F438" s="13">
        <f t="shared" si="140"/>
        <v>3330</v>
      </c>
      <c r="G438" s="13">
        <v>160</v>
      </c>
      <c r="H438" s="21" t="s">
        <v>692</v>
      </c>
      <c r="I438" s="86" t="s">
        <v>1022</v>
      </c>
    </row>
    <row r="439" spans="1:9" ht="18" x14ac:dyDescent="0.3">
      <c r="A439" s="73" t="s">
        <v>716</v>
      </c>
      <c r="B439" s="83" t="s">
        <v>1024</v>
      </c>
      <c r="C439" s="32" t="s">
        <v>717</v>
      </c>
      <c r="D439" s="69">
        <v>4463</v>
      </c>
      <c r="E439" s="11">
        <f t="shared" si="139"/>
        <v>2755.9025000000001</v>
      </c>
      <c r="F439" s="13">
        <f t="shared" si="140"/>
        <v>3450</v>
      </c>
      <c r="G439" s="13">
        <v>160</v>
      </c>
      <c r="H439" s="21" t="s">
        <v>692</v>
      </c>
      <c r="I439" s="86" t="s">
        <v>1022</v>
      </c>
    </row>
    <row r="440" spans="1:9" ht="18" x14ac:dyDescent="0.3">
      <c r="A440" s="76" t="s">
        <v>718</v>
      </c>
      <c r="B440" s="83" t="s">
        <v>1024</v>
      </c>
      <c r="C440" s="32" t="s">
        <v>719</v>
      </c>
      <c r="D440" s="69">
        <v>4222</v>
      </c>
      <c r="E440" s="11">
        <f t="shared" si="139"/>
        <v>2607.085</v>
      </c>
      <c r="F440" s="13">
        <f t="shared" si="140"/>
        <v>3260</v>
      </c>
      <c r="G440" s="13">
        <v>160</v>
      </c>
      <c r="H440" s="21" t="s">
        <v>692</v>
      </c>
      <c r="I440" s="86" t="s">
        <v>1022</v>
      </c>
    </row>
    <row r="441" spans="1:9" ht="18" x14ac:dyDescent="0.3">
      <c r="A441" s="73" t="s">
        <v>720</v>
      </c>
      <c r="B441" s="83" t="s">
        <v>1024</v>
      </c>
      <c r="C441" s="32" t="s">
        <v>721</v>
      </c>
      <c r="D441" s="69">
        <v>4619</v>
      </c>
      <c r="E441" s="11">
        <f t="shared" si="139"/>
        <v>2852.2324999999996</v>
      </c>
      <c r="F441" s="13">
        <f t="shared" si="140"/>
        <v>3570</v>
      </c>
      <c r="G441" s="13">
        <v>160</v>
      </c>
      <c r="H441" s="21" t="s">
        <v>692</v>
      </c>
      <c r="I441" s="86" t="s">
        <v>1022</v>
      </c>
    </row>
    <row r="442" spans="1:9" ht="18" x14ac:dyDescent="0.3">
      <c r="A442" s="73" t="s">
        <v>722</v>
      </c>
      <c r="B442" s="83" t="s">
        <v>1024</v>
      </c>
      <c r="C442" s="32" t="s">
        <v>723</v>
      </c>
      <c r="D442" s="69">
        <v>4860</v>
      </c>
      <c r="E442" s="11">
        <f t="shared" si="139"/>
        <v>3001.0499999999997</v>
      </c>
      <c r="F442" s="13">
        <f t="shared" si="140"/>
        <v>3760</v>
      </c>
      <c r="G442" s="13">
        <v>160</v>
      </c>
      <c r="H442" s="21" t="s">
        <v>692</v>
      </c>
      <c r="I442" s="86" t="s">
        <v>1022</v>
      </c>
    </row>
    <row r="443" spans="1:9" ht="18" x14ac:dyDescent="0.3">
      <c r="A443" s="73" t="s">
        <v>724</v>
      </c>
      <c r="B443" s="83" t="s">
        <v>1024</v>
      </c>
      <c r="C443" s="32" t="s">
        <v>725</v>
      </c>
      <c r="D443" s="69">
        <v>5748</v>
      </c>
      <c r="E443" s="11">
        <f t="shared" si="139"/>
        <v>3549.39</v>
      </c>
      <c r="F443" s="13">
        <f t="shared" si="140"/>
        <v>4440</v>
      </c>
      <c r="G443" s="13">
        <v>160</v>
      </c>
      <c r="H443" s="21" t="s">
        <v>692</v>
      </c>
      <c r="I443" s="86" t="s">
        <v>1022</v>
      </c>
    </row>
    <row r="444" spans="1:9" ht="18" x14ac:dyDescent="0.3">
      <c r="A444" s="76" t="s">
        <v>726</v>
      </c>
      <c r="B444" s="83" t="s">
        <v>1024</v>
      </c>
      <c r="C444" s="32" t="s">
        <v>727</v>
      </c>
      <c r="D444" s="69">
        <v>5361</v>
      </c>
      <c r="E444" s="11">
        <f t="shared" si="139"/>
        <v>3310.4175</v>
      </c>
      <c r="F444" s="13">
        <f t="shared" si="140"/>
        <v>4140</v>
      </c>
      <c r="G444" s="13">
        <v>160</v>
      </c>
      <c r="H444" s="21" t="s">
        <v>692</v>
      </c>
      <c r="I444" s="87" t="s">
        <v>1023</v>
      </c>
    </row>
    <row r="445" spans="1:9" ht="18" x14ac:dyDescent="0.3">
      <c r="A445" s="73" t="s">
        <v>728</v>
      </c>
      <c r="B445" s="83" t="s">
        <v>1024</v>
      </c>
      <c r="C445" s="32" t="s">
        <v>729</v>
      </c>
      <c r="D445" s="69">
        <v>5612</v>
      </c>
      <c r="E445" s="11">
        <f t="shared" si="139"/>
        <v>3465.41</v>
      </c>
      <c r="F445" s="13">
        <f t="shared" si="140"/>
        <v>4340</v>
      </c>
      <c r="G445" s="13">
        <v>160</v>
      </c>
      <c r="H445" s="21" t="s">
        <v>692</v>
      </c>
      <c r="I445" s="87" t="s">
        <v>1023</v>
      </c>
    </row>
    <row r="446" spans="1:9" ht="18" x14ac:dyDescent="0.3">
      <c r="A446" s="73" t="s">
        <v>730</v>
      </c>
      <c r="B446" s="83" t="s">
        <v>1024</v>
      </c>
      <c r="C446" s="32" t="s">
        <v>731</v>
      </c>
      <c r="D446" s="69">
        <v>5832</v>
      </c>
      <c r="E446" s="11">
        <f t="shared" si="139"/>
        <v>3601.26</v>
      </c>
      <c r="F446" s="13">
        <f t="shared" si="140"/>
        <v>4510</v>
      </c>
      <c r="G446" s="13">
        <v>160</v>
      </c>
      <c r="H446" s="21" t="s">
        <v>692</v>
      </c>
      <c r="I446" s="87" t="s">
        <v>1023</v>
      </c>
    </row>
    <row r="447" spans="1:9" ht="18" x14ac:dyDescent="0.3">
      <c r="A447" s="73" t="s">
        <v>732</v>
      </c>
      <c r="B447" s="83" t="s">
        <v>1024</v>
      </c>
      <c r="C447" s="32" t="s">
        <v>733</v>
      </c>
      <c r="D447" s="69">
        <v>6124</v>
      </c>
      <c r="E447" s="11">
        <f t="shared" si="139"/>
        <v>3781.5699999999997</v>
      </c>
      <c r="F447" s="13">
        <f t="shared" si="140"/>
        <v>4730</v>
      </c>
      <c r="G447" s="13">
        <v>160</v>
      </c>
      <c r="H447" s="21" t="s">
        <v>692</v>
      </c>
      <c r="I447" s="87" t="s">
        <v>1023</v>
      </c>
    </row>
    <row r="448" spans="1:9" ht="18" x14ac:dyDescent="0.3">
      <c r="A448" s="76" t="s">
        <v>736</v>
      </c>
      <c r="B448" s="83" t="s">
        <v>1024</v>
      </c>
      <c r="C448" s="32" t="s">
        <v>737</v>
      </c>
      <c r="D448" s="69">
        <v>5163</v>
      </c>
      <c r="E448" s="11">
        <f t="shared" si="139"/>
        <v>3188.1525000000001</v>
      </c>
      <c r="F448" s="13">
        <f t="shared" si="140"/>
        <v>3990</v>
      </c>
      <c r="G448" s="13">
        <v>160</v>
      </c>
      <c r="H448" s="21" t="s">
        <v>692</v>
      </c>
      <c r="I448" s="87" t="s">
        <v>1023</v>
      </c>
    </row>
    <row r="449" spans="1:9" ht="18" x14ac:dyDescent="0.3">
      <c r="A449" s="73" t="s">
        <v>738</v>
      </c>
      <c r="B449" s="83" t="s">
        <v>1024</v>
      </c>
      <c r="C449" s="32" t="s">
        <v>739</v>
      </c>
      <c r="D449" s="69">
        <v>5340</v>
      </c>
      <c r="E449" s="11">
        <f t="shared" si="139"/>
        <v>3297.45</v>
      </c>
      <c r="F449" s="13">
        <f t="shared" si="140"/>
        <v>4130</v>
      </c>
      <c r="G449" s="13">
        <v>160</v>
      </c>
      <c r="H449" s="21" t="s">
        <v>692</v>
      </c>
      <c r="I449" s="87" t="s">
        <v>1023</v>
      </c>
    </row>
    <row r="450" spans="1:9" ht="18" x14ac:dyDescent="0.3">
      <c r="A450" s="73" t="s">
        <v>740</v>
      </c>
      <c r="B450" s="83" t="s">
        <v>1024</v>
      </c>
      <c r="C450" s="32" t="s">
        <v>741</v>
      </c>
      <c r="D450" s="69">
        <v>5664</v>
      </c>
      <c r="E450" s="11">
        <f t="shared" si="139"/>
        <v>3497.5199999999995</v>
      </c>
      <c r="F450" s="13">
        <f t="shared" si="140"/>
        <v>4380</v>
      </c>
      <c r="G450" s="13">
        <v>160</v>
      </c>
      <c r="H450" s="21" t="s">
        <v>692</v>
      </c>
      <c r="I450" s="87" t="s">
        <v>1023</v>
      </c>
    </row>
    <row r="451" spans="1:9" ht="18" x14ac:dyDescent="0.3">
      <c r="A451" s="73" t="s">
        <v>742</v>
      </c>
      <c r="B451" s="83" t="s">
        <v>1024</v>
      </c>
      <c r="C451" s="32" t="s">
        <v>743</v>
      </c>
      <c r="D451" s="69">
        <v>5978</v>
      </c>
      <c r="E451" s="11">
        <f t="shared" si="139"/>
        <v>3691.415</v>
      </c>
      <c r="F451" s="13">
        <f t="shared" si="140"/>
        <v>4620</v>
      </c>
      <c r="G451" s="13">
        <v>160</v>
      </c>
      <c r="H451" s="21" t="s">
        <v>692</v>
      </c>
      <c r="I451" s="87" t="s">
        <v>1023</v>
      </c>
    </row>
    <row r="452" spans="1:9" ht="18" x14ac:dyDescent="0.3">
      <c r="A452" s="73" t="s">
        <v>744</v>
      </c>
      <c r="B452" s="83" t="s">
        <v>1024</v>
      </c>
      <c r="C452" s="32" t="s">
        <v>745</v>
      </c>
      <c r="D452" s="69">
        <v>6009</v>
      </c>
      <c r="E452" s="11">
        <f t="shared" si="139"/>
        <v>3710.5574999999999</v>
      </c>
      <c r="F452" s="13">
        <f t="shared" si="140"/>
        <v>4640</v>
      </c>
      <c r="G452" s="13">
        <v>160</v>
      </c>
      <c r="H452" s="21" t="s">
        <v>692</v>
      </c>
      <c r="I452" s="87" t="s">
        <v>1023</v>
      </c>
    </row>
    <row r="453" spans="1:9" ht="18" x14ac:dyDescent="0.3">
      <c r="A453" s="73" t="s">
        <v>746</v>
      </c>
      <c r="B453" s="83" t="s">
        <v>1024</v>
      </c>
      <c r="C453" s="32" t="s">
        <v>747</v>
      </c>
      <c r="D453" s="69">
        <v>6291</v>
      </c>
      <c r="E453" s="11">
        <f t="shared" si="139"/>
        <v>3884.6925000000001</v>
      </c>
      <c r="F453" s="13">
        <f t="shared" si="140"/>
        <v>4860</v>
      </c>
      <c r="G453" s="13">
        <v>160</v>
      </c>
      <c r="H453" s="21" t="s">
        <v>692</v>
      </c>
      <c r="I453" s="88" t="s">
        <v>1029</v>
      </c>
    </row>
    <row r="454" spans="1:9" ht="18" x14ac:dyDescent="0.3">
      <c r="A454" s="73" t="s">
        <v>748</v>
      </c>
      <c r="B454" s="83" t="s">
        <v>1024</v>
      </c>
      <c r="C454" s="32" t="s">
        <v>749</v>
      </c>
      <c r="D454" s="69">
        <v>6563</v>
      </c>
      <c r="E454" s="11">
        <f t="shared" si="139"/>
        <v>4052.6524999999997</v>
      </c>
      <c r="F454" s="13">
        <f t="shared" si="140"/>
        <v>5070</v>
      </c>
      <c r="G454" s="13">
        <v>160</v>
      </c>
      <c r="H454" s="21" t="s">
        <v>692</v>
      </c>
      <c r="I454" s="88" t="s">
        <v>1029</v>
      </c>
    </row>
    <row r="455" spans="1:9" ht="18" x14ac:dyDescent="0.3">
      <c r="A455" s="73" t="s">
        <v>750</v>
      </c>
      <c r="B455" s="83" t="s">
        <v>1024</v>
      </c>
      <c r="C455" s="32" t="s">
        <v>751</v>
      </c>
      <c r="D455" s="69">
        <v>6793</v>
      </c>
      <c r="E455" s="11">
        <f t="shared" si="139"/>
        <v>4194.6774999999998</v>
      </c>
      <c r="F455" s="13">
        <f t="shared" si="140"/>
        <v>5250</v>
      </c>
      <c r="G455" s="13">
        <v>160</v>
      </c>
      <c r="H455" s="21" t="s">
        <v>692</v>
      </c>
      <c r="I455" s="88" t="s">
        <v>1029</v>
      </c>
    </row>
    <row r="456" spans="1:9" ht="18" x14ac:dyDescent="0.3">
      <c r="A456" s="73" t="s">
        <v>752</v>
      </c>
      <c r="B456" s="83" t="s">
        <v>1024</v>
      </c>
      <c r="C456" s="32" t="s">
        <v>753</v>
      </c>
      <c r="D456" s="69">
        <v>6323</v>
      </c>
      <c r="E456" s="11">
        <f t="shared" si="139"/>
        <v>3904.4524999999994</v>
      </c>
      <c r="F456" s="13">
        <f t="shared" si="140"/>
        <v>4890</v>
      </c>
      <c r="G456" s="13">
        <v>160</v>
      </c>
      <c r="H456" s="21" t="s">
        <v>692</v>
      </c>
      <c r="I456" s="88" t="s">
        <v>1029</v>
      </c>
    </row>
    <row r="457" spans="1:9" ht="18" x14ac:dyDescent="0.3">
      <c r="A457" s="73" t="s">
        <v>754</v>
      </c>
      <c r="B457" s="83" t="s">
        <v>1024</v>
      </c>
      <c r="C457" s="32" t="s">
        <v>755</v>
      </c>
      <c r="D457" s="69">
        <v>6500</v>
      </c>
      <c r="E457" s="11">
        <f t="shared" si="139"/>
        <v>4013.75</v>
      </c>
      <c r="F457" s="13">
        <f t="shared" si="140"/>
        <v>5020</v>
      </c>
      <c r="G457" s="13">
        <v>160</v>
      </c>
      <c r="H457" s="21" t="s">
        <v>692</v>
      </c>
      <c r="I457" s="88" t="s">
        <v>1029</v>
      </c>
    </row>
    <row r="458" spans="1:9" ht="18" x14ac:dyDescent="0.3">
      <c r="A458" s="73" t="s">
        <v>756</v>
      </c>
      <c r="B458" s="83" t="s">
        <v>1024</v>
      </c>
      <c r="C458" s="32" t="s">
        <v>757</v>
      </c>
      <c r="D458" s="69">
        <v>6741</v>
      </c>
      <c r="E458" s="11">
        <f t="shared" si="139"/>
        <v>4162.5675000000001</v>
      </c>
      <c r="F458" s="13">
        <f t="shared" si="140"/>
        <v>5210</v>
      </c>
      <c r="G458" s="13">
        <v>160</v>
      </c>
      <c r="H458" s="21" t="s">
        <v>692</v>
      </c>
      <c r="I458" s="88" t="s">
        <v>1029</v>
      </c>
    </row>
    <row r="459" spans="1:9" ht="18" x14ac:dyDescent="0.3">
      <c r="A459" s="73" t="s">
        <v>758</v>
      </c>
      <c r="B459" s="83" t="s">
        <v>1024</v>
      </c>
      <c r="C459" s="32" t="s">
        <v>759</v>
      </c>
      <c r="D459" s="69">
        <v>6950</v>
      </c>
      <c r="E459" s="11">
        <f t="shared" si="139"/>
        <v>4291.625</v>
      </c>
      <c r="F459" s="13">
        <f t="shared" si="140"/>
        <v>5370</v>
      </c>
      <c r="G459" s="13">
        <v>160</v>
      </c>
      <c r="H459" s="21" t="s">
        <v>692</v>
      </c>
      <c r="I459" s="88" t="s">
        <v>1029</v>
      </c>
    </row>
    <row r="460" spans="1:9" ht="18" x14ac:dyDescent="0.3">
      <c r="A460" s="76" t="s">
        <v>760</v>
      </c>
      <c r="B460" s="83" t="s">
        <v>1025</v>
      </c>
      <c r="C460" s="32" t="s">
        <v>761</v>
      </c>
      <c r="D460" s="69">
        <v>1923</v>
      </c>
      <c r="E460" s="11">
        <f t="shared" si="139"/>
        <v>1187.4525000000001</v>
      </c>
      <c r="F460" s="13">
        <f t="shared" si="140"/>
        <v>1490</v>
      </c>
      <c r="G460" s="13">
        <v>160</v>
      </c>
      <c r="H460" s="21" t="s">
        <v>692</v>
      </c>
      <c r="I460" s="84" t="s">
        <v>1020</v>
      </c>
    </row>
    <row r="461" spans="1:9" ht="18" x14ac:dyDescent="0.3">
      <c r="A461" s="76" t="s">
        <v>762</v>
      </c>
      <c r="B461" s="83" t="s">
        <v>1025</v>
      </c>
      <c r="C461" s="32" t="s">
        <v>763</v>
      </c>
      <c r="D461" s="69">
        <v>2007</v>
      </c>
      <c r="E461" s="11">
        <f t="shared" si="139"/>
        <v>1239.3225</v>
      </c>
      <c r="F461" s="13">
        <f t="shared" si="140"/>
        <v>1550</v>
      </c>
      <c r="G461" s="13">
        <v>160</v>
      </c>
      <c r="H461" s="21" t="s">
        <v>692</v>
      </c>
      <c r="I461" s="84" t="s">
        <v>1020</v>
      </c>
    </row>
    <row r="462" spans="1:9" ht="18" x14ac:dyDescent="0.3">
      <c r="A462" s="73" t="s">
        <v>764</v>
      </c>
      <c r="B462" s="83" t="s">
        <v>1025</v>
      </c>
      <c r="C462" s="32" t="s">
        <v>765</v>
      </c>
      <c r="D462" s="69">
        <v>2090</v>
      </c>
      <c r="E462" s="11">
        <f t="shared" si="139"/>
        <v>1290.575</v>
      </c>
      <c r="F462" s="13">
        <f t="shared" si="140"/>
        <v>1620</v>
      </c>
      <c r="G462" s="13">
        <v>160</v>
      </c>
      <c r="H462" s="21" t="s">
        <v>692</v>
      </c>
      <c r="I462" s="84" t="s">
        <v>1020</v>
      </c>
    </row>
    <row r="463" spans="1:9" ht="18" x14ac:dyDescent="0.3">
      <c r="A463" s="73" t="s">
        <v>766</v>
      </c>
      <c r="B463" s="83" t="s">
        <v>1025</v>
      </c>
      <c r="C463" s="32" t="s">
        <v>767</v>
      </c>
      <c r="D463" s="69">
        <v>2205</v>
      </c>
      <c r="E463" s="11">
        <f t="shared" si="139"/>
        <v>1361.5874999999999</v>
      </c>
      <c r="F463" s="13">
        <f t="shared" si="140"/>
        <v>1710</v>
      </c>
      <c r="G463" s="13">
        <v>160</v>
      </c>
      <c r="H463" s="21" t="s">
        <v>692</v>
      </c>
      <c r="I463" s="84" t="s">
        <v>1020</v>
      </c>
    </row>
    <row r="464" spans="1:9" ht="18" x14ac:dyDescent="0.3">
      <c r="A464" s="73" t="s">
        <v>768</v>
      </c>
      <c r="B464" s="83" t="s">
        <v>1025</v>
      </c>
      <c r="C464" s="32" t="s">
        <v>769</v>
      </c>
      <c r="D464" s="69">
        <v>2299</v>
      </c>
      <c r="E464" s="11">
        <f t="shared" si="139"/>
        <v>1419.6325000000002</v>
      </c>
      <c r="F464" s="13">
        <f t="shared" si="140"/>
        <v>1780</v>
      </c>
      <c r="G464" s="13">
        <v>160</v>
      </c>
      <c r="H464" s="21" t="s">
        <v>692</v>
      </c>
      <c r="I464" s="84" t="s">
        <v>1020</v>
      </c>
    </row>
    <row r="465" spans="1:9" ht="18" x14ac:dyDescent="0.3">
      <c r="A465" s="76" t="s">
        <v>770</v>
      </c>
      <c r="B465" s="83" t="s">
        <v>1025</v>
      </c>
      <c r="C465" s="32" t="s">
        <v>771</v>
      </c>
      <c r="D465" s="69">
        <v>2247</v>
      </c>
      <c r="E465" s="11">
        <f t="shared" si="139"/>
        <v>1387.5224999999998</v>
      </c>
      <c r="F465" s="13">
        <f t="shared" si="140"/>
        <v>1740</v>
      </c>
      <c r="G465" s="13">
        <v>160</v>
      </c>
      <c r="H465" s="21" t="s">
        <v>692</v>
      </c>
      <c r="I465" s="85" t="s">
        <v>1021</v>
      </c>
    </row>
    <row r="466" spans="1:9" ht="18" x14ac:dyDescent="0.3">
      <c r="A466" s="73" t="s">
        <v>772</v>
      </c>
      <c r="B466" s="83" t="s">
        <v>1025</v>
      </c>
      <c r="C466" s="32" t="s">
        <v>773</v>
      </c>
      <c r="D466" s="69">
        <v>2373</v>
      </c>
      <c r="E466" s="11">
        <f t="shared" si="139"/>
        <v>1465.3274999999999</v>
      </c>
      <c r="F466" s="13">
        <f t="shared" si="140"/>
        <v>1840</v>
      </c>
      <c r="G466" s="13">
        <v>160</v>
      </c>
      <c r="H466" s="21" t="s">
        <v>692</v>
      </c>
      <c r="I466" s="85" t="s">
        <v>1021</v>
      </c>
    </row>
    <row r="467" spans="1:9" ht="18" x14ac:dyDescent="0.3">
      <c r="A467" s="73" t="s">
        <v>774</v>
      </c>
      <c r="B467" s="83" t="s">
        <v>1025</v>
      </c>
      <c r="C467" s="32" t="s">
        <v>775</v>
      </c>
      <c r="D467" s="69">
        <v>2508</v>
      </c>
      <c r="E467" s="11">
        <f t="shared" si="139"/>
        <v>1548.69</v>
      </c>
      <c r="F467" s="13">
        <f t="shared" si="140"/>
        <v>1940</v>
      </c>
      <c r="G467" s="13">
        <v>160</v>
      </c>
      <c r="H467" s="21" t="s">
        <v>692</v>
      </c>
      <c r="I467" s="89" t="s">
        <v>1021</v>
      </c>
    </row>
    <row r="468" spans="1:9" ht="18" x14ac:dyDescent="0.3">
      <c r="A468" s="73" t="s">
        <v>776</v>
      </c>
      <c r="B468" s="83" t="s">
        <v>1025</v>
      </c>
      <c r="C468" s="32" t="s">
        <v>777</v>
      </c>
      <c r="D468" s="69">
        <v>2665</v>
      </c>
      <c r="E468" s="11">
        <f t="shared" si="139"/>
        <v>1645.6374999999998</v>
      </c>
      <c r="F468" s="13">
        <f t="shared" si="140"/>
        <v>2060</v>
      </c>
      <c r="G468" s="13">
        <v>160</v>
      </c>
      <c r="H468" s="21" t="s">
        <v>692</v>
      </c>
      <c r="I468" s="89" t="s">
        <v>1021</v>
      </c>
    </row>
    <row r="469" spans="1:9" ht="18" x14ac:dyDescent="0.3">
      <c r="A469" s="73" t="s">
        <v>778</v>
      </c>
      <c r="B469" s="83" t="s">
        <v>1025</v>
      </c>
      <c r="C469" s="32" t="s">
        <v>779</v>
      </c>
      <c r="D469" s="69">
        <v>3606</v>
      </c>
      <c r="E469" s="11">
        <f t="shared" si="139"/>
        <v>2226.7049999999999</v>
      </c>
      <c r="F469" s="13">
        <f t="shared" si="140"/>
        <v>2790</v>
      </c>
      <c r="G469" s="13">
        <v>160</v>
      </c>
      <c r="H469" s="21" t="s">
        <v>692</v>
      </c>
      <c r="I469" s="90" t="s">
        <v>1022</v>
      </c>
    </row>
    <row r="470" spans="1:9" ht="18" x14ac:dyDescent="0.3">
      <c r="A470" s="73" t="s">
        <v>780</v>
      </c>
      <c r="B470" s="83" t="s">
        <v>1025</v>
      </c>
      <c r="C470" s="32" t="s">
        <v>781</v>
      </c>
      <c r="D470" s="69">
        <v>3867</v>
      </c>
      <c r="E470" s="11">
        <f t="shared" si="139"/>
        <v>2387.8724999999999</v>
      </c>
      <c r="F470" s="13">
        <f t="shared" si="140"/>
        <v>2990</v>
      </c>
      <c r="G470" s="13">
        <v>160</v>
      </c>
      <c r="H470" s="21" t="s">
        <v>692</v>
      </c>
      <c r="I470" s="90" t="s">
        <v>1022</v>
      </c>
    </row>
    <row r="471" spans="1:9" ht="18" x14ac:dyDescent="0.3">
      <c r="A471" s="76" t="s">
        <v>782</v>
      </c>
      <c r="B471" s="83" t="s">
        <v>1025</v>
      </c>
      <c r="C471" s="32" t="s">
        <v>783</v>
      </c>
      <c r="D471" s="69">
        <v>3710</v>
      </c>
      <c r="E471" s="11">
        <f t="shared" si="139"/>
        <v>2290.9249999999997</v>
      </c>
      <c r="F471" s="13">
        <f t="shared" si="140"/>
        <v>2870</v>
      </c>
      <c r="G471" s="13">
        <v>160</v>
      </c>
      <c r="H471" s="21" t="s">
        <v>692</v>
      </c>
      <c r="I471" s="90" t="s">
        <v>1022</v>
      </c>
    </row>
    <row r="472" spans="1:9" ht="18" x14ac:dyDescent="0.3">
      <c r="A472" s="73" t="s">
        <v>784</v>
      </c>
      <c r="B472" s="83" t="s">
        <v>1025</v>
      </c>
      <c r="C472" s="32" t="s">
        <v>785</v>
      </c>
      <c r="D472" s="69">
        <v>4076</v>
      </c>
      <c r="E472" s="11">
        <f t="shared" si="139"/>
        <v>2516.9299999999998</v>
      </c>
      <c r="F472" s="13">
        <f t="shared" si="140"/>
        <v>3150</v>
      </c>
      <c r="G472" s="13">
        <v>160</v>
      </c>
      <c r="H472" s="21" t="s">
        <v>692</v>
      </c>
      <c r="I472" s="90" t="s">
        <v>1022</v>
      </c>
    </row>
    <row r="473" spans="1:9" ht="18" x14ac:dyDescent="0.3">
      <c r="A473" s="76" t="s">
        <v>786</v>
      </c>
      <c r="B473" s="83" t="s">
        <v>1025</v>
      </c>
      <c r="C473" s="32" t="s">
        <v>787</v>
      </c>
      <c r="D473" s="69">
        <v>4912</v>
      </c>
      <c r="E473" s="11">
        <f t="shared" si="139"/>
        <v>3033.16</v>
      </c>
      <c r="F473" s="13">
        <f t="shared" si="140"/>
        <v>3800</v>
      </c>
      <c r="G473" s="13">
        <v>160</v>
      </c>
      <c r="H473" s="21" t="s">
        <v>692</v>
      </c>
      <c r="I473" s="87" t="s">
        <v>1023</v>
      </c>
    </row>
    <row r="474" spans="1:9" ht="18" x14ac:dyDescent="0.3">
      <c r="A474" s="73" t="s">
        <v>788</v>
      </c>
      <c r="B474" s="83" t="s">
        <v>1025</v>
      </c>
      <c r="C474" s="32" t="s">
        <v>789</v>
      </c>
      <c r="D474" s="69">
        <v>5215</v>
      </c>
      <c r="E474" s="11">
        <f t="shared" si="139"/>
        <v>3220.2624999999998</v>
      </c>
      <c r="F474" s="13">
        <f t="shared" si="140"/>
        <v>4030</v>
      </c>
      <c r="G474" s="13">
        <v>160</v>
      </c>
      <c r="H474" s="21" t="s">
        <v>692</v>
      </c>
      <c r="I474" s="87" t="s">
        <v>1023</v>
      </c>
    </row>
    <row r="475" spans="1:9" ht="18" x14ac:dyDescent="0.3">
      <c r="A475" s="73" t="s">
        <v>790</v>
      </c>
      <c r="B475" s="83" t="s">
        <v>1025</v>
      </c>
      <c r="C475" s="32" t="s">
        <v>791</v>
      </c>
      <c r="D475" s="69">
        <v>5382</v>
      </c>
      <c r="E475" s="11">
        <f t="shared" si="139"/>
        <v>3323.3850000000002</v>
      </c>
      <c r="F475" s="13">
        <f t="shared" si="140"/>
        <v>4160</v>
      </c>
      <c r="G475" s="13">
        <v>160</v>
      </c>
      <c r="H475" s="21" t="s">
        <v>692</v>
      </c>
      <c r="I475" s="87" t="s">
        <v>1023</v>
      </c>
    </row>
    <row r="476" spans="1:9" ht="18" x14ac:dyDescent="0.3">
      <c r="A476" s="78" t="s">
        <v>792</v>
      </c>
      <c r="B476" s="83" t="s">
        <v>1025</v>
      </c>
      <c r="C476" s="67" t="s">
        <v>793</v>
      </c>
      <c r="D476" s="69">
        <v>5727</v>
      </c>
      <c r="E476" s="11">
        <f t="shared" si="139"/>
        <v>3536.4225000000001</v>
      </c>
      <c r="F476" s="13">
        <f t="shared" si="140"/>
        <v>4430</v>
      </c>
      <c r="G476" s="13">
        <v>160</v>
      </c>
      <c r="H476" s="21" t="s">
        <v>692</v>
      </c>
      <c r="I476" s="87" t="s">
        <v>1023</v>
      </c>
    </row>
    <row r="477" spans="1:9" ht="18" x14ac:dyDescent="0.3">
      <c r="A477" s="76" t="s">
        <v>794</v>
      </c>
      <c r="B477" s="83" t="s">
        <v>1025</v>
      </c>
      <c r="C477" s="32" t="s">
        <v>795</v>
      </c>
      <c r="D477" s="69">
        <v>5434</v>
      </c>
      <c r="E477" s="11">
        <f t="shared" si="139"/>
        <v>3355.4949999999999</v>
      </c>
      <c r="F477" s="13">
        <f t="shared" si="140"/>
        <v>4200</v>
      </c>
      <c r="G477" s="13">
        <v>160</v>
      </c>
      <c r="H477" s="21" t="s">
        <v>692</v>
      </c>
      <c r="I477" s="87" t="s">
        <v>1023</v>
      </c>
    </row>
    <row r="478" spans="1:9" ht="18" x14ac:dyDescent="0.3">
      <c r="A478" s="73" t="s">
        <v>796</v>
      </c>
      <c r="B478" s="83" t="s">
        <v>1025</v>
      </c>
      <c r="C478" s="32" t="s">
        <v>797</v>
      </c>
      <c r="D478" s="69">
        <v>5696</v>
      </c>
      <c r="E478" s="11">
        <f t="shared" si="139"/>
        <v>3517.2799999999997</v>
      </c>
      <c r="F478" s="13">
        <f t="shared" si="140"/>
        <v>4400</v>
      </c>
      <c r="G478" s="13">
        <v>160</v>
      </c>
      <c r="H478" s="21" t="s">
        <v>692</v>
      </c>
      <c r="I478" s="87" t="s">
        <v>1023</v>
      </c>
    </row>
    <row r="479" spans="1:9" ht="18" x14ac:dyDescent="0.3">
      <c r="A479" s="73" t="s">
        <v>798</v>
      </c>
      <c r="B479" s="83" t="s">
        <v>1025</v>
      </c>
      <c r="C479" s="32" t="s">
        <v>799</v>
      </c>
      <c r="D479" s="69">
        <v>5832</v>
      </c>
      <c r="E479" s="11">
        <f t="shared" si="139"/>
        <v>3601.26</v>
      </c>
      <c r="F479" s="13">
        <f t="shared" si="140"/>
        <v>4510</v>
      </c>
      <c r="G479" s="13">
        <v>160</v>
      </c>
      <c r="H479" s="21" t="s">
        <v>692</v>
      </c>
      <c r="I479" s="87" t="s">
        <v>1023</v>
      </c>
    </row>
    <row r="480" spans="1:9" ht="18" x14ac:dyDescent="0.3">
      <c r="A480" s="73" t="s">
        <v>800</v>
      </c>
      <c r="B480" s="83" t="s">
        <v>1025</v>
      </c>
      <c r="C480" s="68" t="s">
        <v>801</v>
      </c>
      <c r="D480" s="69">
        <v>6166</v>
      </c>
      <c r="E480" s="11">
        <f t="shared" si="139"/>
        <v>3807.5050000000001</v>
      </c>
      <c r="F480" s="13">
        <f t="shared" si="140"/>
        <v>4760</v>
      </c>
      <c r="G480" s="13">
        <v>160</v>
      </c>
      <c r="H480" s="21" t="s">
        <v>692</v>
      </c>
      <c r="I480" s="87" t="s">
        <v>1023</v>
      </c>
    </row>
    <row r="481" spans="1:9" ht="18" x14ac:dyDescent="0.3">
      <c r="A481" s="73" t="s">
        <v>802</v>
      </c>
      <c r="B481" s="83" t="s">
        <v>1025</v>
      </c>
      <c r="C481" s="32" t="s">
        <v>803</v>
      </c>
      <c r="D481" s="69">
        <v>6041</v>
      </c>
      <c r="E481" s="11">
        <f t="shared" si="139"/>
        <v>3730.3175000000001</v>
      </c>
      <c r="F481" s="13">
        <f t="shared" si="140"/>
        <v>4670</v>
      </c>
      <c r="G481" s="13">
        <v>160</v>
      </c>
      <c r="H481" s="21" t="s">
        <v>692</v>
      </c>
      <c r="I481" s="87" t="s">
        <v>1023</v>
      </c>
    </row>
    <row r="482" spans="1:9" ht="18" x14ac:dyDescent="0.3">
      <c r="A482" s="73" t="s">
        <v>804</v>
      </c>
      <c r="B482" s="83" t="s">
        <v>1025</v>
      </c>
      <c r="C482" s="32" t="s">
        <v>805</v>
      </c>
      <c r="D482" s="69">
        <v>6270</v>
      </c>
      <c r="E482" s="11">
        <f t="shared" si="139"/>
        <v>3871.7249999999999</v>
      </c>
      <c r="F482" s="13">
        <f t="shared" si="140"/>
        <v>4840</v>
      </c>
      <c r="G482" s="13">
        <v>160</v>
      </c>
      <c r="H482" s="21" t="s">
        <v>692</v>
      </c>
      <c r="I482" s="88" t="s">
        <v>1029</v>
      </c>
    </row>
    <row r="483" spans="1:9" ht="18" x14ac:dyDescent="0.3">
      <c r="A483" s="73" t="s">
        <v>806</v>
      </c>
      <c r="B483" s="83" t="s">
        <v>1025</v>
      </c>
      <c r="C483" s="32" t="s">
        <v>807</v>
      </c>
      <c r="D483" s="69">
        <v>6532</v>
      </c>
      <c r="E483" s="11">
        <f t="shared" si="139"/>
        <v>4033.5099999999998</v>
      </c>
      <c r="F483" s="13">
        <f t="shared" si="140"/>
        <v>5050</v>
      </c>
      <c r="G483" s="13">
        <v>160</v>
      </c>
      <c r="H483" s="21" t="s">
        <v>692</v>
      </c>
      <c r="I483" s="88" t="s">
        <v>1029</v>
      </c>
    </row>
    <row r="484" spans="1:9" ht="18" x14ac:dyDescent="0.3">
      <c r="A484" s="73" t="s">
        <v>808</v>
      </c>
      <c r="B484" s="83" t="s">
        <v>1025</v>
      </c>
      <c r="C484" s="32" t="s">
        <v>809</v>
      </c>
      <c r="D484" s="69">
        <v>6762</v>
      </c>
      <c r="E484" s="11">
        <f t="shared" si="139"/>
        <v>4175.5349999999999</v>
      </c>
      <c r="F484" s="13">
        <f t="shared" si="140"/>
        <v>5220</v>
      </c>
      <c r="G484" s="13">
        <v>160</v>
      </c>
      <c r="H484" s="21" t="s">
        <v>692</v>
      </c>
      <c r="I484" s="88" t="s">
        <v>1029</v>
      </c>
    </row>
    <row r="485" spans="1:9" ht="18" x14ac:dyDescent="0.3">
      <c r="A485" s="73" t="s">
        <v>810</v>
      </c>
      <c r="B485" s="83" t="s">
        <v>1025</v>
      </c>
      <c r="C485" s="32" t="s">
        <v>811</v>
      </c>
      <c r="D485" s="69">
        <v>6365</v>
      </c>
      <c r="E485" s="11">
        <f t="shared" si="139"/>
        <v>3930.3874999999998</v>
      </c>
      <c r="F485" s="13">
        <f t="shared" si="140"/>
        <v>4920</v>
      </c>
      <c r="G485" s="13">
        <v>160</v>
      </c>
      <c r="H485" s="21" t="s">
        <v>692</v>
      </c>
      <c r="I485" s="88" t="s">
        <v>1029</v>
      </c>
    </row>
    <row r="486" spans="1:9" ht="18" x14ac:dyDescent="0.3">
      <c r="A486" s="73" t="s">
        <v>812</v>
      </c>
      <c r="B486" s="83" t="s">
        <v>1025</v>
      </c>
      <c r="C486" s="32" t="s">
        <v>813</v>
      </c>
      <c r="D486" s="69">
        <v>6500</v>
      </c>
      <c r="E486" s="11">
        <f t="shared" si="139"/>
        <v>4013.75</v>
      </c>
      <c r="F486" s="13">
        <f t="shared" si="140"/>
        <v>5020</v>
      </c>
      <c r="G486" s="13">
        <v>160</v>
      </c>
      <c r="H486" s="21" t="s">
        <v>692</v>
      </c>
      <c r="I486" s="88" t="s">
        <v>1029</v>
      </c>
    </row>
    <row r="487" spans="1:9" ht="18" x14ac:dyDescent="0.3">
      <c r="A487" s="73" t="s">
        <v>814</v>
      </c>
      <c r="B487" s="83" t="s">
        <v>1025</v>
      </c>
      <c r="C487" s="32" t="s">
        <v>815</v>
      </c>
      <c r="D487" s="69">
        <v>6908</v>
      </c>
      <c r="E487" s="11">
        <f t="shared" si="139"/>
        <v>4265.6899999999996</v>
      </c>
      <c r="F487" s="13">
        <f t="shared" si="140"/>
        <v>5340</v>
      </c>
      <c r="G487" s="13">
        <v>160</v>
      </c>
      <c r="H487" s="21" t="s">
        <v>692</v>
      </c>
      <c r="I487" s="88" t="s">
        <v>1029</v>
      </c>
    </row>
    <row r="488" spans="1:9" ht="18" x14ac:dyDescent="0.3">
      <c r="A488" s="73" t="s">
        <v>816</v>
      </c>
      <c r="B488" s="83" t="s">
        <v>1025</v>
      </c>
      <c r="C488" s="32" t="s">
        <v>817</v>
      </c>
      <c r="D488" s="69">
        <v>7159</v>
      </c>
      <c r="E488" s="11">
        <f t="shared" si="139"/>
        <v>4420.6824999999999</v>
      </c>
      <c r="F488" s="13">
        <f t="shared" si="140"/>
        <v>5530</v>
      </c>
      <c r="G488" s="13">
        <v>160</v>
      </c>
      <c r="H488" s="21" t="s">
        <v>692</v>
      </c>
      <c r="I488" s="88" t="s">
        <v>1029</v>
      </c>
    </row>
    <row r="489" spans="1:9" ht="18" x14ac:dyDescent="0.3">
      <c r="A489" s="76" t="s">
        <v>818</v>
      </c>
      <c r="B489" s="83" t="s">
        <v>1025</v>
      </c>
      <c r="C489" s="28" t="s">
        <v>819</v>
      </c>
      <c r="D489" s="69">
        <v>1568</v>
      </c>
      <c r="E489" s="11">
        <f t="shared" si="139"/>
        <v>968.24</v>
      </c>
      <c r="F489" s="13">
        <f t="shared" si="140"/>
        <v>1220</v>
      </c>
      <c r="G489" s="13">
        <v>160</v>
      </c>
      <c r="H489" s="21" t="s">
        <v>692</v>
      </c>
      <c r="I489" s="84" t="s">
        <v>1020</v>
      </c>
    </row>
    <row r="490" spans="1:9" ht="18" x14ac:dyDescent="0.3">
      <c r="A490" s="73" t="s">
        <v>820</v>
      </c>
      <c r="B490" s="83" t="s">
        <v>1025</v>
      </c>
      <c r="C490" s="28" t="s">
        <v>821</v>
      </c>
      <c r="D490" s="69">
        <v>1672</v>
      </c>
      <c r="E490" s="11">
        <f t="shared" si="139"/>
        <v>1032.4599999999998</v>
      </c>
      <c r="F490" s="13">
        <f t="shared" si="140"/>
        <v>1300</v>
      </c>
      <c r="G490" s="13">
        <v>160</v>
      </c>
      <c r="H490" s="21" t="s">
        <v>692</v>
      </c>
      <c r="I490" s="84" t="s">
        <v>1020</v>
      </c>
    </row>
    <row r="491" spans="1:9" ht="18" x14ac:dyDescent="0.3">
      <c r="A491" s="73" t="s">
        <v>822</v>
      </c>
      <c r="B491" s="83" t="s">
        <v>1025</v>
      </c>
      <c r="C491" s="28" t="s">
        <v>823</v>
      </c>
      <c r="D491" s="69">
        <v>1767</v>
      </c>
      <c r="E491" s="11">
        <f t="shared" si="139"/>
        <v>1091.1224999999999</v>
      </c>
      <c r="F491" s="13">
        <f t="shared" si="140"/>
        <v>1370</v>
      </c>
      <c r="G491" s="13">
        <v>160</v>
      </c>
      <c r="H491" s="21" t="s">
        <v>692</v>
      </c>
      <c r="I491" s="84" t="s">
        <v>1020</v>
      </c>
    </row>
    <row r="492" spans="1:9" ht="18" x14ac:dyDescent="0.3">
      <c r="A492" s="73" t="s">
        <v>824</v>
      </c>
      <c r="B492" s="83" t="s">
        <v>1025</v>
      </c>
      <c r="C492" s="28" t="s">
        <v>825</v>
      </c>
      <c r="D492" s="69">
        <v>1871</v>
      </c>
      <c r="E492" s="11">
        <f t="shared" si="139"/>
        <v>1155.3425</v>
      </c>
      <c r="F492" s="13">
        <f t="shared" si="140"/>
        <v>1450</v>
      </c>
      <c r="G492" s="13">
        <v>160</v>
      </c>
      <c r="H492" s="21" t="s">
        <v>692</v>
      </c>
      <c r="I492" s="84" t="s">
        <v>1020</v>
      </c>
    </row>
    <row r="493" spans="1:9" ht="18" x14ac:dyDescent="0.3">
      <c r="A493" s="73" t="s">
        <v>826</v>
      </c>
      <c r="B493" s="83" t="s">
        <v>1025</v>
      </c>
      <c r="C493" s="28" t="s">
        <v>827</v>
      </c>
      <c r="D493" s="69">
        <v>1976</v>
      </c>
      <c r="E493" s="11">
        <f t="shared" si="139"/>
        <v>1220.18</v>
      </c>
      <c r="F493" s="13">
        <f t="shared" si="140"/>
        <v>1530</v>
      </c>
      <c r="G493" s="13">
        <v>160</v>
      </c>
      <c r="H493" s="21" t="s">
        <v>692</v>
      </c>
      <c r="I493" s="84" t="s">
        <v>1020</v>
      </c>
    </row>
    <row r="494" spans="1:9" ht="18" x14ac:dyDescent="0.3">
      <c r="A494" s="73" t="s">
        <v>828</v>
      </c>
      <c r="B494" s="83" t="s">
        <v>1025</v>
      </c>
      <c r="C494" s="28" t="s">
        <v>829</v>
      </c>
      <c r="D494" s="69">
        <v>1756</v>
      </c>
      <c r="E494" s="11">
        <f t="shared" ref="E494:E553" si="141">D494*0.65*0.95</f>
        <v>1084.33</v>
      </c>
      <c r="F494" s="13">
        <f t="shared" ref="F494:F553" si="142">ROUNDUP((E494*1.25),-1)</f>
        <v>1360</v>
      </c>
      <c r="G494" s="13">
        <v>160</v>
      </c>
      <c r="H494" s="21" t="s">
        <v>692</v>
      </c>
      <c r="I494" s="85" t="s">
        <v>1021</v>
      </c>
    </row>
    <row r="495" spans="1:9" ht="18" x14ac:dyDescent="0.3">
      <c r="A495" s="73" t="s">
        <v>830</v>
      </c>
      <c r="B495" s="83" t="s">
        <v>1025</v>
      </c>
      <c r="C495" s="28" t="s">
        <v>831</v>
      </c>
      <c r="D495" s="69">
        <v>1881</v>
      </c>
      <c r="E495" s="11">
        <f t="shared" si="141"/>
        <v>1161.5174999999999</v>
      </c>
      <c r="F495" s="13">
        <f t="shared" si="142"/>
        <v>1460</v>
      </c>
      <c r="G495" s="13">
        <v>160</v>
      </c>
      <c r="H495" s="21" t="s">
        <v>692</v>
      </c>
      <c r="I495" s="85" t="s">
        <v>1021</v>
      </c>
    </row>
    <row r="496" spans="1:9" ht="18" x14ac:dyDescent="0.3">
      <c r="A496" s="73" t="s">
        <v>832</v>
      </c>
      <c r="B496" s="83" t="s">
        <v>1025</v>
      </c>
      <c r="C496" s="28" t="s">
        <v>833</v>
      </c>
      <c r="D496" s="69">
        <v>1996</v>
      </c>
      <c r="E496" s="11">
        <f t="shared" si="141"/>
        <v>1232.53</v>
      </c>
      <c r="F496" s="13">
        <f t="shared" si="142"/>
        <v>1550</v>
      </c>
      <c r="G496" s="13">
        <v>160</v>
      </c>
      <c r="H496" s="21" t="s">
        <v>692</v>
      </c>
      <c r="I496" s="85" t="s">
        <v>1021</v>
      </c>
    </row>
    <row r="497" spans="1:9" ht="18" x14ac:dyDescent="0.3">
      <c r="A497" s="73" t="s">
        <v>834</v>
      </c>
      <c r="B497" s="83" t="s">
        <v>1025</v>
      </c>
      <c r="C497" s="28" t="s">
        <v>835</v>
      </c>
      <c r="D497" s="69">
        <v>2247</v>
      </c>
      <c r="E497" s="11">
        <f t="shared" si="141"/>
        <v>1387.5224999999998</v>
      </c>
      <c r="F497" s="13">
        <f t="shared" si="142"/>
        <v>1740</v>
      </c>
      <c r="G497" s="13">
        <v>160</v>
      </c>
      <c r="H497" s="21" t="s">
        <v>692</v>
      </c>
      <c r="I497" s="85" t="s">
        <v>1021</v>
      </c>
    </row>
    <row r="498" spans="1:9" ht="18" x14ac:dyDescent="0.3">
      <c r="A498" s="73" t="s">
        <v>836</v>
      </c>
      <c r="B498" s="83" t="s">
        <v>1025</v>
      </c>
      <c r="C498" s="28" t="s">
        <v>837</v>
      </c>
      <c r="D498" s="69">
        <v>2352</v>
      </c>
      <c r="E498" s="11">
        <f t="shared" si="141"/>
        <v>1452.36</v>
      </c>
      <c r="F498" s="13">
        <f t="shared" si="142"/>
        <v>1820</v>
      </c>
      <c r="G498" s="13">
        <v>160</v>
      </c>
      <c r="H498" s="21" t="s">
        <v>692</v>
      </c>
      <c r="I498" s="87" t="s">
        <v>1023</v>
      </c>
    </row>
    <row r="499" spans="1:9" ht="18" x14ac:dyDescent="0.3">
      <c r="A499" s="73" t="s">
        <v>838</v>
      </c>
      <c r="B499" s="83" t="s">
        <v>1025</v>
      </c>
      <c r="C499" s="28" t="s">
        <v>839</v>
      </c>
      <c r="D499" s="69">
        <v>3292</v>
      </c>
      <c r="E499" s="11">
        <f t="shared" si="141"/>
        <v>2032.8100000000002</v>
      </c>
      <c r="F499" s="13">
        <f t="shared" si="142"/>
        <v>2550</v>
      </c>
      <c r="G499" s="13">
        <v>160</v>
      </c>
      <c r="H499" s="21" t="s">
        <v>692</v>
      </c>
      <c r="I499" s="87" t="s">
        <v>1023</v>
      </c>
    </row>
    <row r="500" spans="1:9" ht="18" x14ac:dyDescent="0.3">
      <c r="A500" s="73" t="s">
        <v>840</v>
      </c>
      <c r="B500" s="83" t="s">
        <v>1025</v>
      </c>
      <c r="C500" s="28" t="s">
        <v>841</v>
      </c>
      <c r="D500" s="69">
        <v>3428</v>
      </c>
      <c r="E500" s="11">
        <f t="shared" si="141"/>
        <v>2116.79</v>
      </c>
      <c r="F500" s="13">
        <f t="shared" si="142"/>
        <v>2650</v>
      </c>
      <c r="G500" s="13">
        <v>160</v>
      </c>
      <c r="H500" s="21" t="s">
        <v>692</v>
      </c>
      <c r="I500" s="87" t="s">
        <v>1023</v>
      </c>
    </row>
    <row r="501" spans="1:9" ht="18" x14ac:dyDescent="0.3">
      <c r="A501" s="73" t="s">
        <v>842</v>
      </c>
      <c r="B501" s="83" t="s">
        <v>1025</v>
      </c>
      <c r="C501" s="28" t="s">
        <v>843</v>
      </c>
      <c r="D501" s="69">
        <v>3648</v>
      </c>
      <c r="E501" s="11">
        <f t="shared" si="141"/>
        <v>2252.6400000000003</v>
      </c>
      <c r="F501" s="13">
        <f t="shared" si="142"/>
        <v>2820</v>
      </c>
      <c r="G501" s="13">
        <v>160</v>
      </c>
      <c r="H501" s="21" t="s">
        <v>692</v>
      </c>
      <c r="I501" s="87" t="s">
        <v>1023</v>
      </c>
    </row>
    <row r="502" spans="1:9" ht="18" x14ac:dyDescent="0.3">
      <c r="A502" s="73" t="s">
        <v>844</v>
      </c>
      <c r="B502" s="83" t="s">
        <v>1025</v>
      </c>
      <c r="C502" s="28" t="s">
        <v>845</v>
      </c>
      <c r="D502" s="69">
        <v>4180</v>
      </c>
      <c r="E502" s="11">
        <f t="shared" si="141"/>
        <v>2581.15</v>
      </c>
      <c r="F502" s="13">
        <f t="shared" si="142"/>
        <v>3230</v>
      </c>
      <c r="G502" s="13">
        <v>160</v>
      </c>
      <c r="H502" s="21" t="s">
        <v>692</v>
      </c>
      <c r="I502" s="87" t="s">
        <v>1023</v>
      </c>
    </row>
    <row r="503" spans="1:9" ht="18" x14ac:dyDescent="0.3">
      <c r="A503" s="73" t="s">
        <v>846</v>
      </c>
      <c r="B503" s="83" t="s">
        <v>1025</v>
      </c>
      <c r="C503" s="28" t="s">
        <v>847</v>
      </c>
      <c r="D503" s="69">
        <v>4389</v>
      </c>
      <c r="E503" s="11">
        <f t="shared" si="141"/>
        <v>2710.2075</v>
      </c>
      <c r="F503" s="13">
        <f t="shared" si="142"/>
        <v>3390</v>
      </c>
      <c r="G503" s="13">
        <v>160</v>
      </c>
      <c r="H503" s="21" t="s">
        <v>692</v>
      </c>
      <c r="I503" s="87" t="s">
        <v>1023</v>
      </c>
    </row>
    <row r="504" spans="1:9" ht="18" x14ac:dyDescent="0.3">
      <c r="A504" s="73" t="s">
        <v>848</v>
      </c>
      <c r="B504" s="83" t="s">
        <v>1025</v>
      </c>
      <c r="C504" s="28" t="s">
        <v>849</v>
      </c>
      <c r="D504" s="69">
        <v>3815</v>
      </c>
      <c r="E504" s="11">
        <f t="shared" si="141"/>
        <v>2355.7624999999998</v>
      </c>
      <c r="F504" s="13">
        <f t="shared" si="142"/>
        <v>2950</v>
      </c>
      <c r="G504" s="13">
        <v>160</v>
      </c>
      <c r="H504" s="21" t="s">
        <v>692</v>
      </c>
      <c r="I504" s="88" t="s">
        <v>1029</v>
      </c>
    </row>
    <row r="505" spans="1:9" ht="18" x14ac:dyDescent="0.3">
      <c r="A505" s="73" t="s">
        <v>850</v>
      </c>
      <c r="B505" s="83" t="s">
        <v>1025</v>
      </c>
      <c r="C505" s="28" t="s">
        <v>851</v>
      </c>
      <c r="D505" s="69">
        <v>3992</v>
      </c>
      <c r="E505" s="11">
        <f t="shared" si="141"/>
        <v>2465.06</v>
      </c>
      <c r="F505" s="13">
        <f t="shared" si="142"/>
        <v>3090</v>
      </c>
      <c r="G505" s="13">
        <v>160</v>
      </c>
      <c r="H505" s="21" t="s">
        <v>692</v>
      </c>
      <c r="I505" s="88" t="s">
        <v>1029</v>
      </c>
    </row>
    <row r="506" spans="1:9" ht="18" x14ac:dyDescent="0.3">
      <c r="A506" s="73" t="s">
        <v>852</v>
      </c>
      <c r="B506" s="83" t="s">
        <v>1025</v>
      </c>
      <c r="C506" s="28" t="s">
        <v>853</v>
      </c>
      <c r="D506" s="69">
        <v>4264</v>
      </c>
      <c r="E506" s="11">
        <f t="shared" si="141"/>
        <v>2633.02</v>
      </c>
      <c r="F506" s="13">
        <f t="shared" si="142"/>
        <v>3300</v>
      </c>
      <c r="G506" s="13">
        <v>160</v>
      </c>
      <c r="H506" s="21" t="s">
        <v>692</v>
      </c>
      <c r="I506" s="88" t="s">
        <v>1029</v>
      </c>
    </row>
    <row r="507" spans="1:9" ht="18" x14ac:dyDescent="0.3">
      <c r="A507" s="73" t="s">
        <v>854</v>
      </c>
      <c r="B507" s="83" t="s">
        <v>1025</v>
      </c>
      <c r="C507" s="28" t="s">
        <v>855</v>
      </c>
      <c r="D507" s="69">
        <v>4442</v>
      </c>
      <c r="E507" s="11">
        <f t="shared" si="141"/>
        <v>2742.9349999999999</v>
      </c>
      <c r="F507" s="13">
        <f t="shared" si="142"/>
        <v>3430</v>
      </c>
      <c r="G507" s="13">
        <v>160</v>
      </c>
      <c r="H507" s="21" t="s">
        <v>692</v>
      </c>
      <c r="I507" s="88" t="s">
        <v>1029</v>
      </c>
    </row>
    <row r="508" spans="1:9" ht="18" x14ac:dyDescent="0.3">
      <c r="A508" s="73" t="s">
        <v>856</v>
      </c>
      <c r="B508" s="83" t="s">
        <v>1025</v>
      </c>
      <c r="C508" s="28" t="s">
        <v>857</v>
      </c>
      <c r="D508" s="69">
        <v>4776</v>
      </c>
      <c r="E508" s="11">
        <f t="shared" si="141"/>
        <v>2949.18</v>
      </c>
      <c r="F508" s="13">
        <f t="shared" si="142"/>
        <v>3690</v>
      </c>
      <c r="G508" s="13">
        <v>160</v>
      </c>
      <c r="H508" s="21" t="s">
        <v>692</v>
      </c>
      <c r="I508" s="88" t="s">
        <v>1029</v>
      </c>
    </row>
    <row r="509" spans="1:9" ht="18" x14ac:dyDescent="0.3">
      <c r="A509" s="73" t="s">
        <v>858</v>
      </c>
      <c r="B509" s="83" t="s">
        <v>1025</v>
      </c>
      <c r="C509" s="28" t="s">
        <v>859</v>
      </c>
      <c r="D509" s="69">
        <v>1746</v>
      </c>
      <c r="E509" s="11">
        <f t="shared" si="141"/>
        <v>1078.155</v>
      </c>
      <c r="F509" s="13">
        <f t="shared" si="142"/>
        <v>1350</v>
      </c>
      <c r="G509" s="13">
        <v>160</v>
      </c>
      <c r="H509" s="21" t="s">
        <v>692</v>
      </c>
      <c r="I509" s="91" t="s">
        <v>1030</v>
      </c>
    </row>
    <row r="510" spans="1:9" ht="18" x14ac:dyDescent="0.3">
      <c r="A510" s="73" t="s">
        <v>860</v>
      </c>
      <c r="B510" s="83" t="s">
        <v>1025</v>
      </c>
      <c r="C510" s="28" t="s">
        <v>861</v>
      </c>
      <c r="D510" s="69">
        <v>1976</v>
      </c>
      <c r="E510" s="11">
        <f t="shared" si="141"/>
        <v>1220.18</v>
      </c>
      <c r="F510" s="13">
        <f t="shared" si="142"/>
        <v>1530</v>
      </c>
      <c r="G510" s="13">
        <v>160</v>
      </c>
      <c r="H510" s="21" t="s">
        <v>692</v>
      </c>
      <c r="I510" s="91" t="s">
        <v>1030</v>
      </c>
    </row>
    <row r="511" spans="1:9" ht="18" x14ac:dyDescent="0.3">
      <c r="A511" s="73" t="s">
        <v>862</v>
      </c>
      <c r="B511" s="83" t="s">
        <v>1025</v>
      </c>
      <c r="C511" s="28" t="s">
        <v>863</v>
      </c>
      <c r="D511" s="69">
        <v>2101</v>
      </c>
      <c r="E511" s="11">
        <f t="shared" si="141"/>
        <v>1297.3675000000001</v>
      </c>
      <c r="F511" s="13">
        <f t="shared" si="142"/>
        <v>1630</v>
      </c>
      <c r="G511" s="13">
        <v>160</v>
      </c>
      <c r="H511" s="21" t="s">
        <v>692</v>
      </c>
      <c r="I511" s="91" t="s">
        <v>1030</v>
      </c>
    </row>
    <row r="512" spans="1:9" ht="18" x14ac:dyDescent="0.3">
      <c r="A512" s="73" t="s">
        <v>864</v>
      </c>
      <c r="B512" s="83" t="s">
        <v>1025</v>
      </c>
      <c r="C512" s="28" t="s">
        <v>865</v>
      </c>
      <c r="D512" s="69">
        <v>2174</v>
      </c>
      <c r="E512" s="11">
        <f t="shared" si="141"/>
        <v>1342.4450000000002</v>
      </c>
      <c r="F512" s="13">
        <f t="shared" si="142"/>
        <v>1680</v>
      </c>
      <c r="G512" s="13">
        <v>160</v>
      </c>
      <c r="H512" s="21" t="s">
        <v>692</v>
      </c>
      <c r="I512" s="91" t="s">
        <v>1030</v>
      </c>
    </row>
    <row r="513" spans="1:9" ht="18" x14ac:dyDescent="0.3">
      <c r="A513" s="73" t="s">
        <v>866</v>
      </c>
      <c r="B513" s="83" t="s">
        <v>1025</v>
      </c>
      <c r="C513" s="28" t="s">
        <v>867</v>
      </c>
      <c r="D513" s="69">
        <v>2352</v>
      </c>
      <c r="E513" s="11">
        <f t="shared" si="141"/>
        <v>1452.36</v>
      </c>
      <c r="F513" s="13">
        <f t="shared" si="142"/>
        <v>1820</v>
      </c>
      <c r="G513" s="13">
        <v>160</v>
      </c>
      <c r="H513" s="21" t="s">
        <v>692</v>
      </c>
      <c r="I513" s="91" t="s">
        <v>1030</v>
      </c>
    </row>
    <row r="514" spans="1:9" ht="18" x14ac:dyDescent="0.3">
      <c r="A514" s="76" t="s">
        <v>868</v>
      </c>
      <c r="B514" s="83" t="s">
        <v>1027</v>
      </c>
      <c r="C514" s="28" t="s">
        <v>869</v>
      </c>
      <c r="D514" s="69">
        <v>936</v>
      </c>
      <c r="E514" s="11">
        <f t="shared" si="141"/>
        <v>577.9799999999999</v>
      </c>
      <c r="F514" s="13">
        <f t="shared" si="142"/>
        <v>730</v>
      </c>
      <c r="G514" s="13">
        <v>160</v>
      </c>
      <c r="H514" s="21" t="s">
        <v>692</v>
      </c>
      <c r="I514" s="84" t="s">
        <v>1020</v>
      </c>
    </row>
    <row r="515" spans="1:9" ht="18" x14ac:dyDescent="0.3">
      <c r="A515" s="73" t="s">
        <v>870</v>
      </c>
      <c r="B515" s="83" t="s">
        <v>1027</v>
      </c>
      <c r="C515" s="28" t="s">
        <v>871</v>
      </c>
      <c r="D515" s="69">
        <v>1019</v>
      </c>
      <c r="E515" s="11">
        <f t="shared" si="141"/>
        <v>629.23249999999996</v>
      </c>
      <c r="F515" s="13">
        <f t="shared" si="142"/>
        <v>790</v>
      </c>
      <c r="G515" s="13">
        <v>160</v>
      </c>
      <c r="H515" s="21" t="s">
        <v>692</v>
      </c>
      <c r="I515" s="84" t="s">
        <v>1020</v>
      </c>
    </row>
    <row r="516" spans="1:9" ht="18" x14ac:dyDescent="0.3">
      <c r="A516" s="73" t="s">
        <v>872</v>
      </c>
      <c r="B516" s="83" t="s">
        <v>1027</v>
      </c>
      <c r="C516" s="28" t="s">
        <v>873</v>
      </c>
      <c r="D516" s="69">
        <v>1098</v>
      </c>
      <c r="E516" s="11">
        <f t="shared" si="141"/>
        <v>678.01499999999999</v>
      </c>
      <c r="F516" s="13">
        <f t="shared" si="142"/>
        <v>850</v>
      </c>
      <c r="G516" s="13">
        <v>160</v>
      </c>
      <c r="H516" s="21" t="s">
        <v>692</v>
      </c>
      <c r="I516" s="84" t="s">
        <v>1020</v>
      </c>
    </row>
    <row r="517" spans="1:9" ht="18" x14ac:dyDescent="0.3">
      <c r="A517" s="73" t="s">
        <v>874</v>
      </c>
      <c r="B517" s="83" t="s">
        <v>1027</v>
      </c>
      <c r="C517" s="28" t="s">
        <v>875</v>
      </c>
      <c r="D517" s="69">
        <v>1176</v>
      </c>
      <c r="E517" s="11">
        <f t="shared" si="141"/>
        <v>726.18</v>
      </c>
      <c r="F517" s="13">
        <f t="shared" si="142"/>
        <v>910</v>
      </c>
      <c r="G517" s="13">
        <v>160</v>
      </c>
      <c r="H517" s="21" t="s">
        <v>692</v>
      </c>
      <c r="I517" s="84" t="s">
        <v>1020</v>
      </c>
    </row>
    <row r="518" spans="1:9" ht="18" x14ac:dyDescent="0.3">
      <c r="A518" s="76" t="s">
        <v>877</v>
      </c>
      <c r="B518" s="83" t="s">
        <v>1027</v>
      </c>
      <c r="C518" s="28" t="s">
        <v>878</v>
      </c>
      <c r="D518" s="69">
        <v>1160</v>
      </c>
      <c r="E518" s="11">
        <f t="shared" si="141"/>
        <v>716.3</v>
      </c>
      <c r="F518" s="13">
        <f t="shared" si="142"/>
        <v>900</v>
      </c>
      <c r="G518" s="13">
        <v>160</v>
      </c>
      <c r="H518" s="21" t="s">
        <v>692</v>
      </c>
      <c r="I518" s="85" t="s">
        <v>1021</v>
      </c>
    </row>
    <row r="519" spans="1:9" ht="18" x14ac:dyDescent="0.3">
      <c r="A519" s="73" t="s">
        <v>879</v>
      </c>
      <c r="B519" s="83" t="s">
        <v>1027</v>
      </c>
      <c r="C519" s="28" t="s">
        <v>880</v>
      </c>
      <c r="D519" s="69">
        <v>1265</v>
      </c>
      <c r="E519" s="11">
        <f t="shared" si="141"/>
        <v>781.13749999999993</v>
      </c>
      <c r="F519" s="13">
        <f t="shared" si="142"/>
        <v>980</v>
      </c>
      <c r="G519" s="13">
        <v>160</v>
      </c>
      <c r="H519" s="21" t="s">
        <v>692</v>
      </c>
      <c r="I519" s="85" t="s">
        <v>1021</v>
      </c>
    </row>
    <row r="520" spans="1:9" ht="18" x14ac:dyDescent="0.3">
      <c r="A520" s="73" t="s">
        <v>881</v>
      </c>
      <c r="B520" s="83" t="s">
        <v>1027</v>
      </c>
      <c r="C520" s="28" t="s">
        <v>882</v>
      </c>
      <c r="D520" s="69">
        <v>1367</v>
      </c>
      <c r="E520" s="11">
        <f t="shared" si="141"/>
        <v>844.12250000000006</v>
      </c>
      <c r="F520" s="13">
        <f t="shared" si="142"/>
        <v>1060</v>
      </c>
      <c r="G520" s="13">
        <v>160</v>
      </c>
      <c r="H520" s="21" t="s">
        <v>692</v>
      </c>
      <c r="I520" s="85" t="s">
        <v>1021</v>
      </c>
    </row>
    <row r="521" spans="1:9" ht="18" x14ac:dyDescent="0.3">
      <c r="A521" s="73" t="s">
        <v>883</v>
      </c>
      <c r="B521" s="83" t="s">
        <v>1027</v>
      </c>
      <c r="C521" s="28" t="s">
        <v>884</v>
      </c>
      <c r="D521" s="69">
        <v>1474</v>
      </c>
      <c r="E521" s="11">
        <f t="shared" si="141"/>
        <v>910.19499999999994</v>
      </c>
      <c r="F521" s="13">
        <f t="shared" si="142"/>
        <v>1140</v>
      </c>
      <c r="G521" s="13">
        <v>160</v>
      </c>
      <c r="H521" s="21" t="s">
        <v>692</v>
      </c>
      <c r="I521" s="85" t="s">
        <v>1021</v>
      </c>
    </row>
    <row r="522" spans="1:9" ht="18" x14ac:dyDescent="0.3">
      <c r="A522" s="76" t="s">
        <v>885</v>
      </c>
      <c r="B522" s="83" t="s">
        <v>1027</v>
      </c>
      <c r="C522" s="28" t="s">
        <v>886</v>
      </c>
      <c r="D522" s="69">
        <v>2477</v>
      </c>
      <c r="E522" s="11">
        <f t="shared" si="141"/>
        <v>1529.5474999999999</v>
      </c>
      <c r="F522" s="13">
        <f t="shared" si="142"/>
        <v>1920</v>
      </c>
      <c r="G522" s="13">
        <v>160</v>
      </c>
      <c r="H522" s="21" t="s">
        <v>692</v>
      </c>
      <c r="I522" s="87" t="s">
        <v>1023</v>
      </c>
    </row>
    <row r="523" spans="1:9" ht="18" x14ac:dyDescent="0.3">
      <c r="A523" s="76"/>
      <c r="B523" s="83" t="s">
        <v>1027</v>
      </c>
      <c r="C523" s="28" t="s">
        <v>1031</v>
      </c>
      <c r="D523" s="69">
        <v>2640</v>
      </c>
      <c r="E523" s="11">
        <f t="shared" si="141"/>
        <v>1630.1999999999998</v>
      </c>
      <c r="F523" s="13">
        <f t="shared" si="142"/>
        <v>2040</v>
      </c>
      <c r="G523" s="13">
        <v>160</v>
      </c>
      <c r="H523" s="21" t="s">
        <v>692</v>
      </c>
      <c r="I523" s="87" t="s">
        <v>1023</v>
      </c>
    </row>
    <row r="524" spans="1:9" ht="18" x14ac:dyDescent="0.3">
      <c r="A524" s="73" t="s">
        <v>887</v>
      </c>
      <c r="B524" s="83" t="s">
        <v>1027</v>
      </c>
      <c r="C524" s="28" t="s">
        <v>888</v>
      </c>
      <c r="D524" s="69">
        <v>2613</v>
      </c>
      <c r="E524" s="11">
        <f t="shared" si="141"/>
        <v>1613.5274999999999</v>
      </c>
      <c r="F524" s="13">
        <f t="shared" si="142"/>
        <v>2020</v>
      </c>
      <c r="G524" s="13">
        <v>160</v>
      </c>
      <c r="H524" s="21" t="s">
        <v>692</v>
      </c>
      <c r="I524" s="87" t="s">
        <v>1023</v>
      </c>
    </row>
    <row r="525" spans="1:9" ht="18" x14ac:dyDescent="0.3">
      <c r="A525" s="73" t="s">
        <v>889</v>
      </c>
      <c r="B525" s="83" t="s">
        <v>1027</v>
      </c>
      <c r="C525" s="28" t="s">
        <v>890</v>
      </c>
      <c r="D525" s="69">
        <v>2791</v>
      </c>
      <c r="E525" s="11">
        <f t="shared" si="141"/>
        <v>1723.4425000000001</v>
      </c>
      <c r="F525" s="13">
        <f t="shared" si="142"/>
        <v>2160</v>
      </c>
      <c r="G525" s="13">
        <v>160</v>
      </c>
      <c r="H525" s="21" t="s">
        <v>692</v>
      </c>
      <c r="I525" s="87" t="s">
        <v>1023</v>
      </c>
    </row>
    <row r="526" spans="1:9" ht="18" x14ac:dyDescent="0.3">
      <c r="A526" s="73" t="s">
        <v>891</v>
      </c>
      <c r="B526" s="83" t="s">
        <v>1027</v>
      </c>
      <c r="C526" s="28" t="s">
        <v>892</v>
      </c>
      <c r="D526" s="69">
        <v>2947</v>
      </c>
      <c r="E526" s="11">
        <f t="shared" si="141"/>
        <v>1819.7724999999998</v>
      </c>
      <c r="F526" s="13">
        <f t="shared" si="142"/>
        <v>2280</v>
      </c>
      <c r="G526" s="13">
        <v>160</v>
      </c>
      <c r="H526" s="21" t="s">
        <v>692</v>
      </c>
      <c r="I526" s="87" t="s">
        <v>1023</v>
      </c>
    </row>
    <row r="527" spans="1:9" ht="18" x14ac:dyDescent="0.3">
      <c r="A527" s="76" t="s">
        <v>893</v>
      </c>
      <c r="B527" s="83" t="s">
        <v>1027</v>
      </c>
      <c r="C527" s="28" t="s">
        <v>894</v>
      </c>
      <c r="D527" s="69">
        <v>2697</v>
      </c>
      <c r="E527" s="11">
        <f t="shared" si="141"/>
        <v>1665.3974999999998</v>
      </c>
      <c r="F527" s="13">
        <f t="shared" si="142"/>
        <v>2090</v>
      </c>
      <c r="G527" s="13">
        <v>160</v>
      </c>
      <c r="H527" s="21" t="s">
        <v>692</v>
      </c>
      <c r="I527" s="88" t="s">
        <v>1029</v>
      </c>
    </row>
    <row r="528" spans="1:9" ht="18" x14ac:dyDescent="0.3">
      <c r="A528" s="73" t="s">
        <v>895</v>
      </c>
      <c r="B528" s="83" t="s">
        <v>1027</v>
      </c>
      <c r="C528" s="28" t="s">
        <v>896</v>
      </c>
      <c r="D528" s="69">
        <v>3010</v>
      </c>
      <c r="E528" s="11">
        <f t="shared" si="141"/>
        <v>1858.675</v>
      </c>
      <c r="F528" s="13">
        <f t="shared" si="142"/>
        <v>2330</v>
      </c>
      <c r="G528" s="13">
        <v>160</v>
      </c>
      <c r="H528" s="21" t="s">
        <v>692</v>
      </c>
      <c r="I528" s="88" t="s">
        <v>1029</v>
      </c>
    </row>
    <row r="529" spans="1:9" ht="18" x14ac:dyDescent="0.3">
      <c r="A529" s="73" t="s">
        <v>897</v>
      </c>
      <c r="B529" s="83" t="s">
        <v>1027</v>
      </c>
      <c r="C529" s="28" t="s">
        <v>898</v>
      </c>
      <c r="D529" s="69">
        <v>3313</v>
      </c>
      <c r="E529" s="11">
        <f t="shared" si="141"/>
        <v>2045.7775000000001</v>
      </c>
      <c r="F529" s="13">
        <f t="shared" si="142"/>
        <v>2560</v>
      </c>
      <c r="G529" s="13">
        <v>160</v>
      </c>
      <c r="H529" s="21" t="s">
        <v>692</v>
      </c>
      <c r="I529" s="88" t="s">
        <v>1029</v>
      </c>
    </row>
    <row r="530" spans="1:9" ht="18" x14ac:dyDescent="0.3">
      <c r="A530" s="76" t="s">
        <v>899</v>
      </c>
      <c r="B530" s="83" t="s">
        <v>1027</v>
      </c>
      <c r="C530" s="28" t="s">
        <v>900</v>
      </c>
      <c r="D530" s="69">
        <v>1160</v>
      </c>
      <c r="E530" s="11">
        <f t="shared" si="141"/>
        <v>716.3</v>
      </c>
      <c r="F530" s="13">
        <f t="shared" si="142"/>
        <v>900</v>
      </c>
      <c r="G530" s="13">
        <v>160</v>
      </c>
      <c r="H530" s="21" t="s">
        <v>692</v>
      </c>
      <c r="I530" s="91" t="s">
        <v>1030</v>
      </c>
    </row>
    <row r="531" spans="1:9" ht="18" x14ac:dyDescent="0.3">
      <c r="A531" s="73" t="s">
        <v>901</v>
      </c>
      <c r="B531" s="83" t="s">
        <v>1027</v>
      </c>
      <c r="C531" s="28" t="s">
        <v>902</v>
      </c>
      <c r="D531" s="69">
        <v>1406</v>
      </c>
      <c r="E531" s="11">
        <f t="shared" si="141"/>
        <v>868.20499999999993</v>
      </c>
      <c r="F531" s="13">
        <f t="shared" si="142"/>
        <v>1090</v>
      </c>
      <c r="G531" s="13">
        <v>160</v>
      </c>
      <c r="H531" s="21" t="s">
        <v>692</v>
      </c>
      <c r="I531" s="91" t="s">
        <v>1030</v>
      </c>
    </row>
    <row r="532" spans="1:9" ht="18" x14ac:dyDescent="0.3">
      <c r="A532" s="75" t="s">
        <v>903</v>
      </c>
      <c r="B532" s="83" t="s">
        <v>1027</v>
      </c>
      <c r="C532" s="28" t="s">
        <v>904</v>
      </c>
      <c r="D532" s="69">
        <v>1756</v>
      </c>
      <c r="E532" s="11">
        <f t="shared" si="141"/>
        <v>1084.33</v>
      </c>
      <c r="F532" s="13">
        <f t="shared" si="142"/>
        <v>1360</v>
      </c>
      <c r="G532" s="13">
        <v>160</v>
      </c>
      <c r="H532" s="21" t="s">
        <v>692</v>
      </c>
      <c r="I532" s="91" t="s">
        <v>1030</v>
      </c>
    </row>
    <row r="533" spans="1:9" ht="18" x14ac:dyDescent="0.3">
      <c r="A533" s="76" t="s">
        <v>905</v>
      </c>
      <c r="B533" s="83" t="s">
        <v>1024</v>
      </c>
      <c r="C533" s="28" t="s">
        <v>906</v>
      </c>
      <c r="D533" s="69">
        <v>2665</v>
      </c>
      <c r="E533" s="11">
        <f t="shared" si="141"/>
        <v>1645.6374999999998</v>
      </c>
      <c r="F533" s="13">
        <f t="shared" si="142"/>
        <v>2060</v>
      </c>
      <c r="G533" s="13">
        <v>90</v>
      </c>
      <c r="H533" s="21" t="s">
        <v>692</v>
      </c>
      <c r="I533" s="92" t="s">
        <v>1032</v>
      </c>
    </row>
    <row r="534" spans="1:9" ht="18" x14ac:dyDescent="0.3">
      <c r="A534" s="73" t="s">
        <v>907</v>
      </c>
      <c r="B534" s="83" t="s">
        <v>1024</v>
      </c>
      <c r="C534" s="28" t="s">
        <v>908</v>
      </c>
      <c r="D534" s="69">
        <v>2728</v>
      </c>
      <c r="E534" s="11">
        <f t="shared" si="141"/>
        <v>1684.54</v>
      </c>
      <c r="F534" s="13">
        <f t="shared" si="142"/>
        <v>2110</v>
      </c>
      <c r="G534" s="13">
        <v>90</v>
      </c>
      <c r="H534" s="21" t="s">
        <v>692</v>
      </c>
      <c r="I534" s="92" t="s">
        <v>1032</v>
      </c>
    </row>
    <row r="535" spans="1:9" ht="18" x14ac:dyDescent="0.3">
      <c r="A535" s="73" t="s">
        <v>909</v>
      </c>
      <c r="B535" s="83" t="s">
        <v>1024</v>
      </c>
      <c r="C535" s="28" t="s">
        <v>910</v>
      </c>
      <c r="D535" s="69">
        <v>3021</v>
      </c>
      <c r="E535" s="11">
        <f t="shared" si="141"/>
        <v>1865.4675</v>
      </c>
      <c r="F535" s="13">
        <f t="shared" si="142"/>
        <v>2340</v>
      </c>
      <c r="G535" s="13">
        <v>90</v>
      </c>
      <c r="H535" s="21" t="s">
        <v>692</v>
      </c>
      <c r="I535" s="92" t="s">
        <v>1032</v>
      </c>
    </row>
    <row r="536" spans="1:9" ht="18" x14ac:dyDescent="0.3">
      <c r="A536" s="73" t="s">
        <v>911</v>
      </c>
      <c r="B536" s="83" t="s">
        <v>1024</v>
      </c>
      <c r="C536" s="28" t="s">
        <v>912</v>
      </c>
      <c r="D536" s="69">
        <v>3271</v>
      </c>
      <c r="E536" s="11">
        <f t="shared" si="141"/>
        <v>2019.8425</v>
      </c>
      <c r="F536" s="13">
        <f t="shared" si="142"/>
        <v>2530</v>
      </c>
      <c r="G536" s="13">
        <v>90</v>
      </c>
      <c r="H536" s="21" t="s">
        <v>692</v>
      </c>
      <c r="I536" s="92" t="s">
        <v>1032</v>
      </c>
    </row>
    <row r="537" spans="1:9" ht="18" x14ac:dyDescent="0.3">
      <c r="A537" s="76" t="s">
        <v>913</v>
      </c>
      <c r="B537" s="83" t="s">
        <v>1028</v>
      </c>
      <c r="C537" s="28" t="s">
        <v>914</v>
      </c>
      <c r="D537" s="69">
        <v>1568</v>
      </c>
      <c r="E537" s="11">
        <f t="shared" si="141"/>
        <v>968.24</v>
      </c>
      <c r="F537" s="13">
        <f t="shared" si="142"/>
        <v>1220</v>
      </c>
      <c r="G537" s="13">
        <v>90</v>
      </c>
      <c r="H537" s="21" t="s">
        <v>692</v>
      </c>
      <c r="I537" s="92" t="s">
        <v>1032</v>
      </c>
    </row>
    <row r="538" spans="1:9" ht="18" x14ac:dyDescent="0.3">
      <c r="A538" s="73" t="s">
        <v>915</v>
      </c>
      <c r="B538" s="83" t="s">
        <v>1028</v>
      </c>
      <c r="C538" s="28" t="s">
        <v>916</v>
      </c>
      <c r="D538" s="69">
        <v>1672</v>
      </c>
      <c r="E538" s="11">
        <f t="shared" si="141"/>
        <v>1032.4599999999998</v>
      </c>
      <c r="F538" s="13">
        <f t="shared" si="142"/>
        <v>1300</v>
      </c>
      <c r="G538" s="13">
        <v>90</v>
      </c>
      <c r="H538" s="21" t="s">
        <v>692</v>
      </c>
      <c r="I538" s="92" t="s">
        <v>1032</v>
      </c>
    </row>
    <row r="539" spans="1:9" ht="18" x14ac:dyDescent="0.3">
      <c r="A539" s="73" t="s">
        <v>917</v>
      </c>
      <c r="B539" s="83" t="s">
        <v>1028</v>
      </c>
      <c r="C539" s="28" t="s">
        <v>918</v>
      </c>
      <c r="D539" s="69">
        <v>1777</v>
      </c>
      <c r="E539" s="11">
        <f t="shared" si="141"/>
        <v>1097.2974999999999</v>
      </c>
      <c r="F539" s="13">
        <f t="shared" si="142"/>
        <v>1380</v>
      </c>
      <c r="G539" s="13">
        <v>90</v>
      </c>
      <c r="H539" s="21" t="s">
        <v>692</v>
      </c>
      <c r="I539" s="92" t="s">
        <v>1032</v>
      </c>
    </row>
    <row r="540" spans="1:9" ht="18" x14ac:dyDescent="0.3">
      <c r="A540" s="73" t="s">
        <v>919</v>
      </c>
      <c r="B540" s="83" t="s">
        <v>1028</v>
      </c>
      <c r="C540" s="28" t="s">
        <v>920</v>
      </c>
      <c r="D540" s="69">
        <v>1881</v>
      </c>
      <c r="E540" s="11">
        <f t="shared" si="141"/>
        <v>1161.5174999999999</v>
      </c>
      <c r="F540" s="13">
        <f t="shared" si="142"/>
        <v>1460</v>
      </c>
      <c r="G540" s="13">
        <v>90</v>
      </c>
      <c r="H540" s="21" t="s">
        <v>692</v>
      </c>
      <c r="I540" s="92" t="s">
        <v>1032</v>
      </c>
    </row>
    <row r="541" spans="1:9" ht="18" x14ac:dyDescent="0.3">
      <c r="A541" s="73" t="s">
        <v>921</v>
      </c>
      <c r="B541" s="83" t="s">
        <v>1028</v>
      </c>
      <c r="C541" s="28" t="s">
        <v>922</v>
      </c>
      <c r="D541" s="69">
        <v>2090</v>
      </c>
      <c r="E541" s="11">
        <f t="shared" si="141"/>
        <v>1290.575</v>
      </c>
      <c r="F541" s="13">
        <f t="shared" si="142"/>
        <v>1620</v>
      </c>
      <c r="G541" s="13">
        <v>90</v>
      </c>
      <c r="H541" s="21" t="s">
        <v>692</v>
      </c>
      <c r="I541" s="92" t="s">
        <v>1032</v>
      </c>
    </row>
    <row r="542" spans="1:9" ht="18" x14ac:dyDescent="0.3">
      <c r="A542" s="76" t="s">
        <v>1059</v>
      </c>
      <c r="B542" s="83" t="s">
        <v>1028</v>
      </c>
      <c r="C542" s="28" t="s">
        <v>1060</v>
      </c>
      <c r="D542" s="69">
        <v>304</v>
      </c>
      <c r="E542" s="11">
        <f t="shared" si="141"/>
        <v>187.72</v>
      </c>
      <c r="F542" s="13">
        <f t="shared" si="142"/>
        <v>240</v>
      </c>
      <c r="G542" s="13"/>
      <c r="H542" s="21" t="s">
        <v>692</v>
      </c>
      <c r="I542" s="92" t="s">
        <v>1032</v>
      </c>
    </row>
    <row r="543" spans="1:9" ht="18" x14ac:dyDescent="0.3">
      <c r="A543" s="76" t="s">
        <v>923</v>
      </c>
      <c r="B543" s="83" t="s">
        <v>1026</v>
      </c>
      <c r="C543" s="28" t="s">
        <v>924</v>
      </c>
      <c r="D543" s="69">
        <v>1589</v>
      </c>
      <c r="E543" s="11">
        <f t="shared" si="141"/>
        <v>981.2075000000001</v>
      </c>
      <c r="F543" s="13">
        <f t="shared" si="142"/>
        <v>1230</v>
      </c>
      <c r="G543" s="13">
        <v>90</v>
      </c>
      <c r="H543" s="21" t="s">
        <v>692</v>
      </c>
      <c r="I543" s="21" t="s">
        <v>1019</v>
      </c>
    </row>
    <row r="544" spans="1:9" ht="18" x14ac:dyDescent="0.3">
      <c r="A544" s="73" t="s">
        <v>925</v>
      </c>
      <c r="B544" s="83" t="s">
        <v>1026</v>
      </c>
      <c r="C544" s="28" t="s">
        <v>926</v>
      </c>
      <c r="D544" s="69">
        <v>2049</v>
      </c>
      <c r="E544" s="11">
        <f t="shared" si="141"/>
        <v>1265.2575000000002</v>
      </c>
      <c r="F544" s="13">
        <f t="shared" si="142"/>
        <v>1590</v>
      </c>
      <c r="G544" s="13">
        <v>90</v>
      </c>
      <c r="H544" s="21" t="s">
        <v>692</v>
      </c>
      <c r="I544" s="21" t="s">
        <v>1019</v>
      </c>
    </row>
    <row r="545" spans="1:9" ht="18" x14ac:dyDescent="0.3">
      <c r="A545" s="73" t="s">
        <v>927</v>
      </c>
      <c r="B545" s="83" t="s">
        <v>1026</v>
      </c>
      <c r="C545" s="28" t="s">
        <v>928</v>
      </c>
      <c r="D545" s="69">
        <v>2467</v>
      </c>
      <c r="E545" s="11">
        <f t="shared" si="141"/>
        <v>1523.3724999999999</v>
      </c>
      <c r="F545" s="13">
        <f t="shared" si="142"/>
        <v>1910</v>
      </c>
      <c r="G545" s="13">
        <v>90</v>
      </c>
      <c r="H545" s="21" t="s">
        <v>692</v>
      </c>
      <c r="I545" s="21" t="s">
        <v>1019</v>
      </c>
    </row>
    <row r="546" spans="1:9" ht="18" x14ac:dyDescent="0.3">
      <c r="A546" s="79" t="s">
        <v>931</v>
      </c>
      <c r="B546" s="83" t="s">
        <v>1026</v>
      </c>
      <c r="C546" s="28" t="s">
        <v>932</v>
      </c>
      <c r="D546" s="69">
        <v>2613</v>
      </c>
      <c r="E546" s="11">
        <f t="shared" si="141"/>
        <v>1613.5274999999999</v>
      </c>
      <c r="F546" s="13">
        <f t="shared" si="142"/>
        <v>2020</v>
      </c>
      <c r="G546" s="13">
        <v>90</v>
      </c>
      <c r="H546" s="21" t="s">
        <v>692</v>
      </c>
      <c r="I546" s="93" t="s">
        <v>1018</v>
      </c>
    </row>
    <row r="547" spans="1:9" ht="18" x14ac:dyDescent="0.3">
      <c r="A547" s="76" t="s">
        <v>935</v>
      </c>
      <c r="B547" s="83" t="s">
        <v>1026</v>
      </c>
      <c r="C547" s="28" t="s">
        <v>936</v>
      </c>
      <c r="D547" s="69">
        <v>2174</v>
      </c>
      <c r="E547" s="11">
        <f t="shared" si="141"/>
        <v>1342.4450000000002</v>
      </c>
      <c r="F547" s="13">
        <f t="shared" si="142"/>
        <v>1680</v>
      </c>
      <c r="G547" s="13">
        <v>160</v>
      </c>
      <c r="H547" s="21" t="s">
        <v>692</v>
      </c>
      <c r="I547" s="93" t="s">
        <v>1018</v>
      </c>
    </row>
    <row r="548" spans="1:9" ht="18" x14ac:dyDescent="0.3">
      <c r="A548" s="73" t="s">
        <v>946</v>
      </c>
      <c r="B548" s="83" t="s">
        <v>1027</v>
      </c>
      <c r="C548" s="28" t="s">
        <v>947</v>
      </c>
      <c r="D548" s="69">
        <v>510</v>
      </c>
      <c r="E548" s="11">
        <f t="shared" si="141"/>
        <v>314.92500000000001</v>
      </c>
      <c r="F548" s="13">
        <f t="shared" si="142"/>
        <v>400</v>
      </c>
      <c r="G548" s="13">
        <v>55</v>
      </c>
      <c r="H548" s="21" t="s">
        <v>692</v>
      </c>
      <c r="I548" s="83" t="s">
        <v>1019</v>
      </c>
    </row>
    <row r="549" spans="1:9" ht="18" x14ac:dyDescent="0.3">
      <c r="A549" s="73" t="s">
        <v>948</v>
      </c>
      <c r="B549" s="83" t="s">
        <v>1033</v>
      </c>
      <c r="C549" s="28" t="s">
        <v>949</v>
      </c>
      <c r="D549" s="69">
        <v>533</v>
      </c>
      <c r="E549" s="11">
        <f t="shared" si="141"/>
        <v>329.1275</v>
      </c>
      <c r="F549" s="13">
        <f t="shared" si="142"/>
        <v>420</v>
      </c>
      <c r="G549" s="13">
        <v>55</v>
      </c>
      <c r="H549" s="21" t="s">
        <v>692</v>
      </c>
      <c r="I549" s="83" t="s">
        <v>1019</v>
      </c>
    </row>
    <row r="550" spans="1:9" ht="18" x14ac:dyDescent="0.3">
      <c r="A550" s="76" t="s">
        <v>950</v>
      </c>
      <c r="B550" s="83" t="s">
        <v>1033</v>
      </c>
      <c r="C550" s="28" t="s">
        <v>951</v>
      </c>
      <c r="D550" s="69">
        <v>1484</v>
      </c>
      <c r="E550" s="11">
        <f t="shared" si="141"/>
        <v>916.37</v>
      </c>
      <c r="F550" s="13">
        <f t="shared" si="142"/>
        <v>1150</v>
      </c>
      <c r="G550" s="13">
        <v>90</v>
      </c>
      <c r="H550" s="21" t="s">
        <v>692</v>
      </c>
      <c r="I550" s="83" t="s">
        <v>1019</v>
      </c>
    </row>
    <row r="551" spans="1:9" ht="18" x14ac:dyDescent="0.3">
      <c r="A551" s="73" t="s">
        <v>952</v>
      </c>
      <c r="B551" s="83" t="s">
        <v>1033</v>
      </c>
      <c r="C551" s="28" t="s">
        <v>953</v>
      </c>
      <c r="D551" s="69">
        <v>1787</v>
      </c>
      <c r="E551" s="11">
        <f t="shared" si="141"/>
        <v>1103.4724999999999</v>
      </c>
      <c r="F551" s="13">
        <f t="shared" si="142"/>
        <v>1380</v>
      </c>
      <c r="G551" s="13">
        <v>90</v>
      </c>
      <c r="H551" s="21" t="s">
        <v>692</v>
      </c>
      <c r="I551" s="83" t="s">
        <v>1019</v>
      </c>
    </row>
    <row r="552" spans="1:9" ht="18" x14ac:dyDescent="0.3">
      <c r="A552" s="73" t="s">
        <v>954</v>
      </c>
      <c r="B552" s="83" t="s">
        <v>1033</v>
      </c>
      <c r="C552" s="28" t="s">
        <v>955</v>
      </c>
      <c r="D552" s="69">
        <v>1934</v>
      </c>
      <c r="E552" s="11">
        <f t="shared" si="141"/>
        <v>1194.2450000000001</v>
      </c>
      <c r="F552" s="13">
        <f t="shared" si="142"/>
        <v>1500</v>
      </c>
      <c r="G552" s="13">
        <v>90</v>
      </c>
      <c r="H552" s="21" t="s">
        <v>692</v>
      </c>
      <c r="I552" s="83" t="s">
        <v>1019</v>
      </c>
    </row>
    <row r="553" spans="1:9" ht="18" x14ac:dyDescent="0.3">
      <c r="A553" s="73" t="s">
        <v>929</v>
      </c>
      <c r="B553" s="83" t="s">
        <v>1034</v>
      </c>
      <c r="C553" s="28" t="s">
        <v>930</v>
      </c>
      <c r="D553" s="69">
        <v>345</v>
      </c>
      <c r="E553" s="11">
        <f t="shared" si="141"/>
        <v>213.03749999999999</v>
      </c>
      <c r="F553" s="13">
        <f t="shared" si="142"/>
        <v>270</v>
      </c>
      <c r="G553" s="13"/>
      <c r="H553" s="21" t="s">
        <v>692</v>
      </c>
      <c r="I553" s="83" t="s">
        <v>1019</v>
      </c>
    </row>
    <row r="554" spans="1:9" ht="18" x14ac:dyDescent="0.3">
      <c r="A554" s="79" t="s">
        <v>956</v>
      </c>
      <c r="B554" s="83" t="s">
        <v>1033</v>
      </c>
      <c r="C554" s="28" t="s">
        <v>957</v>
      </c>
      <c r="D554" s="69">
        <v>2122</v>
      </c>
      <c r="E554" s="11">
        <f t="shared" ref="E554:E605" si="143">D554*0.65*0.95</f>
        <v>1310.3349999999998</v>
      </c>
      <c r="F554" s="13">
        <f t="shared" ref="F554:F605" si="144">ROUNDUP((E554*1.25),-1)</f>
        <v>1640</v>
      </c>
      <c r="G554" s="13">
        <v>90</v>
      </c>
      <c r="H554" s="21" t="s">
        <v>692</v>
      </c>
      <c r="I554" s="93" t="s">
        <v>1018</v>
      </c>
    </row>
    <row r="555" spans="1:9" ht="18" x14ac:dyDescent="0.3">
      <c r="A555" s="76" t="s">
        <v>958</v>
      </c>
      <c r="B555" s="83" t="s">
        <v>1033</v>
      </c>
      <c r="C555" s="28" t="s">
        <v>959</v>
      </c>
      <c r="D555" s="69">
        <v>2007</v>
      </c>
      <c r="E555" s="11">
        <f t="shared" si="143"/>
        <v>1239.3225</v>
      </c>
      <c r="F555" s="13">
        <f t="shared" si="144"/>
        <v>1550</v>
      </c>
      <c r="G555" s="13">
        <v>160</v>
      </c>
      <c r="H555" s="21" t="s">
        <v>692</v>
      </c>
      <c r="I555" s="93" t="s">
        <v>1018</v>
      </c>
    </row>
    <row r="556" spans="1:9" ht="18" x14ac:dyDescent="0.3">
      <c r="A556" s="73" t="s">
        <v>937</v>
      </c>
      <c r="B556" s="83" t="s">
        <v>1034</v>
      </c>
      <c r="C556" s="28" t="s">
        <v>938</v>
      </c>
      <c r="D556" s="69">
        <v>795</v>
      </c>
      <c r="E556" s="11">
        <f t="shared" si="143"/>
        <v>490.91249999999997</v>
      </c>
      <c r="F556" s="13">
        <f t="shared" si="144"/>
        <v>620</v>
      </c>
      <c r="G556" s="13"/>
      <c r="H556" s="21" t="s">
        <v>692</v>
      </c>
      <c r="I556" s="93" t="s">
        <v>1018</v>
      </c>
    </row>
    <row r="557" spans="1:9" ht="18" x14ac:dyDescent="0.3">
      <c r="A557" s="73" t="s">
        <v>939</v>
      </c>
      <c r="B557" s="83" t="s">
        <v>1034</v>
      </c>
      <c r="C557" s="28" t="s">
        <v>940</v>
      </c>
      <c r="D557" s="69">
        <v>920</v>
      </c>
      <c r="E557" s="11">
        <f t="shared" si="143"/>
        <v>568.1</v>
      </c>
      <c r="F557" s="13">
        <f t="shared" si="144"/>
        <v>720</v>
      </c>
      <c r="G557" s="13"/>
      <c r="H557" s="21" t="s">
        <v>692</v>
      </c>
      <c r="I557" s="93" t="s">
        <v>1018</v>
      </c>
    </row>
    <row r="558" spans="1:9" ht="18" x14ac:dyDescent="0.3">
      <c r="A558" s="73" t="s">
        <v>941</v>
      </c>
      <c r="B558" s="83" t="s">
        <v>1034</v>
      </c>
      <c r="C558" s="28" t="s">
        <v>942</v>
      </c>
      <c r="D558" s="69">
        <v>1056</v>
      </c>
      <c r="E558" s="11">
        <f t="shared" si="143"/>
        <v>652.07999999999993</v>
      </c>
      <c r="F558" s="13">
        <f t="shared" si="144"/>
        <v>820</v>
      </c>
      <c r="G558" s="13"/>
      <c r="H558" s="21" t="s">
        <v>692</v>
      </c>
      <c r="I558" s="93" t="s">
        <v>1018</v>
      </c>
    </row>
    <row r="559" spans="1:9" ht="18" x14ac:dyDescent="0.3">
      <c r="A559" s="73" t="s">
        <v>943</v>
      </c>
      <c r="B559" s="83" t="s">
        <v>1034</v>
      </c>
      <c r="C559" s="28" t="s">
        <v>944</v>
      </c>
      <c r="D559" s="69">
        <v>1040</v>
      </c>
      <c r="E559" s="11">
        <f t="shared" si="143"/>
        <v>642.19999999999993</v>
      </c>
      <c r="F559" s="13">
        <f t="shared" si="144"/>
        <v>810</v>
      </c>
      <c r="G559" s="13"/>
      <c r="H559" s="21" t="s">
        <v>692</v>
      </c>
      <c r="I559" s="93" t="s">
        <v>1018</v>
      </c>
    </row>
    <row r="560" spans="1:9" ht="18" x14ac:dyDescent="0.3">
      <c r="A560" s="75" t="s">
        <v>945</v>
      </c>
      <c r="B560" s="83" t="s">
        <v>1034</v>
      </c>
      <c r="C560" s="28" t="s">
        <v>960</v>
      </c>
      <c r="D560" s="69">
        <v>680</v>
      </c>
      <c r="E560" s="11">
        <f t="shared" si="143"/>
        <v>419.9</v>
      </c>
      <c r="F560" s="13">
        <f t="shared" si="144"/>
        <v>530</v>
      </c>
      <c r="G560" s="13"/>
      <c r="H560" s="21" t="s">
        <v>692</v>
      </c>
      <c r="I560" s="93" t="s">
        <v>1018</v>
      </c>
    </row>
    <row r="561" spans="1:9" ht="18" x14ac:dyDescent="0.3">
      <c r="A561" s="80" t="s">
        <v>712</v>
      </c>
      <c r="B561" s="83"/>
      <c r="C561" s="71" t="s">
        <v>713</v>
      </c>
      <c r="D561" s="69">
        <v>40</v>
      </c>
      <c r="E561" s="11">
        <f t="shared" si="143"/>
        <v>24.7</v>
      </c>
      <c r="F561" s="13">
        <f t="shared" si="144"/>
        <v>40</v>
      </c>
      <c r="G561" s="13"/>
      <c r="H561" s="21" t="s">
        <v>692</v>
      </c>
      <c r="I561" s="83" t="s">
        <v>1017</v>
      </c>
    </row>
    <row r="562" spans="1:9" ht="18" x14ac:dyDescent="0.3">
      <c r="A562" s="72" t="s">
        <v>703</v>
      </c>
      <c r="B562" s="83"/>
      <c r="C562" s="71" t="s">
        <v>961</v>
      </c>
      <c r="D562" s="69">
        <v>314</v>
      </c>
      <c r="E562" s="11">
        <f t="shared" si="143"/>
        <v>193.89499999999998</v>
      </c>
      <c r="F562" s="13">
        <f t="shared" si="144"/>
        <v>250</v>
      </c>
      <c r="G562" s="13"/>
      <c r="H562" s="21" t="s">
        <v>692</v>
      </c>
      <c r="I562" s="83" t="s">
        <v>1017</v>
      </c>
    </row>
    <row r="563" spans="1:9" ht="18" x14ac:dyDescent="0.3">
      <c r="A563" s="72" t="s">
        <v>876</v>
      </c>
      <c r="B563" s="83"/>
      <c r="C563" s="71" t="s">
        <v>962</v>
      </c>
      <c r="D563" s="69">
        <v>136</v>
      </c>
      <c r="E563" s="11">
        <f t="shared" si="143"/>
        <v>83.98</v>
      </c>
      <c r="F563" s="13">
        <f t="shared" si="144"/>
        <v>110</v>
      </c>
      <c r="G563" s="13"/>
      <c r="H563" s="21" t="s">
        <v>692</v>
      </c>
      <c r="I563" s="83" t="s">
        <v>1017</v>
      </c>
    </row>
    <row r="564" spans="1:9" ht="18" x14ac:dyDescent="0.3">
      <c r="A564" s="72" t="s">
        <v>963</v>
      </c>
      <c r="B564" s="83"/>
      <c r="C564" s="71" t="s">
        <v>964</v>
      </c>
      <c r="D564" s="69">
        <v>59</v>
      </c>
      <c r="E564" s="11">
        <f t="shared" si="143"/>
        <v>36.432499999999997</v>
      </c>
      <c r="F564" s="13">
        <f t="shared" si="144"/>
        <v>50</v>
      </c>
      <c r="G564" s="13"/>
      <c r="H564" s="21" t="s">
        <v>692</v>
      </c>
      <c r="I564" s="83" t="s">
        <v>1017</v>
      </c>
    </row>
    <row r="565" spans="1:9" ht="18" x14ac:dyDescent="0.3">
      <c r="A565" s="72" t="s">
        <v>965</v>
      </c>
      <c r="B565" s="83"/>
      <c r="C565" s="71" t="s">
        <v>966</v>
      </c>
      <c r="D565" s="69">
        <v>122</v>
      </c>
      <c r="E565" s="11">
        <f t="shared" si="143"/>
        <v>75.334999999999994</v>
      </c>
      <c r="F565" s="13">
        <f t="shared" si="144"/>
        <v>100</v>
      </c>
      <c r="G565" s="13"/>
      <c r="H565" s="21" t="s">
        <v>692</v>
      </c>
      <c r="I565" s="83" t="s">
        <v>1017</v>
      </c>
    </row>
    <row r="566" spans="1:9" ht="18" x14ac:dyDescent="0.3">
      <c r="A566" s="72" t="s">
        <v>967</v>
      </c>
      <c r="B566" s="83"/>
      <c r="C566" s="71" t="s">
        <v>968</v>
      </c>
      <c r="D566" s="69">
        <v>34</v>
      </c>
      <c r="E566" s="11">
        <f t="shared" si="143"/>
        <v>20.995000000000001</v>
      </c>
      <c r="F566" s="13">
        <f t="shared" si="144"/>
        <v>30</v>
      </c>
      <c r="G566" s="13"/>
      <c r="H566" s="21" t="s">
        <v>692</v>
      </c>
      <c r="I566" s="83" t="s">
        <v>1017</v>
      </c>
    </row>
    <row r="567" spans="1:9" ht="18" x14ac:dyDescent="0.3">
      <c r="A567" s="72" t="s">
        <v>969</v>
      </c>
      <c r="B567" s="83"/>
      <c r="C567" s="71" t="s">
        <v>970</v>
      </c>
      <c r="D567" s="69">
        <v>31</v>
      </c>
      <c r="E567" s="11">
        <f t="shared" si="143"/>
        <v>19.142500000000002</v>
      </c>
      <c r="F567" s="13">
        <f t="shared" si="144"/>
        <v>30</v>
      </c>
      <c r="G567" s="13"/>
      <c r="H567" s="21" t="s">
        <v>692</v>
      </c>
      <c r="I567" s="83" t="s">
        <v>1017</v>
      </c>
    </row>
    <row r="568" spans="1:9" ht="18" x14ac:dyDescent="0.3">
      <c r="A568" s="72" t="s">
        <v>971</v>
      </c>
      <c r="B568" s="83"/>
      <c r="C568" s="71" t="s">
        <v>972</v>
      </c>
      <c r="D568" s="69">
        <v>68</v>
      </c>
      <c r="E568" s="11">
        <f t="shared" si="143"/>
        <v>41.99</v>
      </c>
      <c r="F568" s="13">
        <f t="shared" si="144"/>
        <v>60</v>
      </c>
      <c r="G568" s="13"/>
      <c r="H568" s="21" t="s">
        <v>692</v>
      </c>
      <c r="I568" s="83" t="s">
        <v>1017</v>
      </c>
    </row>
    <row r="569" spans="1:9" ht="18" x14ac:dyDescent="0.3">
      <c r="A569" s="72" t="s">
        <v>973</v>
      </c>
      <c r="B569" s="83"/>
      <c r="C569" s="71" t="s">
        <v>974</v>
      </c>
      <c r="D569" s="69">
        <v>92</v>
      </c>
      <c r="E569" s="11">
        <f t="shared" si="143"/>
        <v>56.81</v>
      </c>
      <c r="F569" s="13">
        <f t="shared" si="144"/>
        <v>80</v>
      </c>
      <c r="G569" s="13"/>
      <c r="H569" s="21" t="s">
        <v>692</v>
      </c>
      <c r="I569" s="83" t="s">
        <v>1017</v>
      </c>
    </row>
    <row r="570" spans="1:9" ht="18" x14ac:dyDescent="0.3">
      <c r="A570" s="73" t="s">
        <v>975</v>
      </c>
      <c r="B570" s="83"/>
      <c r="C570" s="71" t="s">
        <v>976</v>
      </c>
      <c r="D570" s="69">
        <v>335</v>
      </c>
      <c r="E570" s="11">
        <f t="shared" si="143"/>
        <v>206.86249999999998</v>
      </c>
      <c r="F570" s="13">
        <f t="shared" si="144"/>
        <v>260</v>
      </c>
      <c r="G570" s="13"/>
      <c r="H570" s="21" t="s">
        <v>692</v>
      </c>
      <c r="I570" s="83" t="s">
        <v>1017</v>
      </c>
    </row>
    <row r="571" spans="1:9" ht="18" x14ac:dyDescent="0.3">
      <c r="A571" s="73" t="s">
        <v>977</v>
      </c>
      <c r="B571" s="83"/>
      <c r="C571" s="71" t="s">
        <v>978</v>
      </c>
      <c r="D571" s="69">
        <v>203</v>
      </c>
      <c r="E571" s="11">
        <f t="shared" si="143"/>
        <v>125.35250000000001</v>
      </c>
      <c r="F571" s="13">
        <f t="shared" si="144"/>
        <v>160</v>
      </c>
      <c r="G571" s="13"/>
      <c r="H571" s="21" t="s">
        <v>692</v>
      </c>
      <c r="I571" s="83" t="s">
        <v>1017</v>
      </c>
    </row>
    <row r="572" spans="1:9" ht="18" x14ac:dyDescent="0.3">
      <c r="A572" s="73" t="s">
        <v>979</v>
      </c>
      <c r="B572" s="83"/>
      <c r="C572" s="71" t="s">
        <v>980</v>
      </c>
      <c r="D572" s="69">
        <v>320</v>
      </c>
      <c r="E572" s="11">
        <f t="shared" si="143"/>
        <v>197.6</v>
      </c>
      <c r="F572" s="13">
        <f t="shared" si="144"/>
        <v>250</v>
      </c>
      <c r="G572" s="13"/>
      <c r="H572" s="21" t="s">
        <v>692</v>
      </c>
      <c r="I572" s="83" t="s">
        <v>1017</v>
      </c>
    </row>
    <row r="573" spans="1:9" ht="18" x14ac:dyDescent="0.3">
      <c r="A573" s="73" t="s">
        <v>981</v>
      </c>
      <c r="B573" s="83"/>
      <c r="C573" s="71" t="s">
        <v>982</v>
      </c>
      <c r="D573" s="69">
        <v>15</v>
      </c>
      <c r="E573" s="11">
        <f t="shared" si="143"/>
        <v>9.2624999999999993</v>
      </c>
      <c r="F573" s="13">
        <f t="shared" si="144"/>
        <v>20</v>
      </c>
      <c r="G573" s="13"/>
      <c r="H573" s="21" t="s">
        <v>692</v>
      </c>
      <c r="I573" s="83" t="s">
        <v>1017</v>
      </c>
    </row>
    <row r="574" spans="1:9" ht="18" x14ac:dyDescent="0.3">
      <c r="A574" s="72" t="s">
        <v>983</v>
      </c>
      <c r="B574" s="83"/>
      <c r="C574" s="71" t="s">
        <v>984</v>
      </c>
      <c r="D574" s="69">
        <v>526</v>
      </c>
      <c r="E574" s="11">
        <f t="shared" si="143"/>
        <v>324.80500000000001</v>
      </c>
      <c r="F574" s="13">
        <f t="shared" si="144"/>
        <v>410</v>
      </c>
      <c r="G574" s="13"/>
      <c r="H574" s="21" t="s">
        <v>692</v>
      </c>
      <c r="I574" s="83" t="s">
        <v>1017</v>
      </c>
    </row>
    <row r="575" spans="1:9" ht="18" x14ac:dyDescent="0.3">
      <c r="A575" s="73" t="s">
        <v>985</v>
      </c>
      <c r="B575" s="83"/>
      <c r="C575" s="71" t="s">
        <v>986</v>
      </c>
      <c r="D575" s="69">
        <v>864</v>
      </c>
      <c r="E575" s="11">
        <f t="shared" si="143"/>
        <v>533.52</v>
      </c>
      <c r="F575" s="13">
        <f t="shared" si="144"/>
        <v>670</v>
      </c>
      <c r="G575" s="13"/>
      <c r="H575" s="21" t="s">
        <v>692</v>
      </c>
      <c r="I575" s="83" t="s">
        <v>1017</v>
      </c>
    </row>
    <row r="576" spans="1:9" ht="18" x14ac:dyDescent="0.3">
      <c r="A576" s="73" t="s">
        <v>987</v>
      </c>
      <c r="B576" s="83"/>
      <c r="C576" s="71" t="s">
        <v>988</v>
      </c>
      <c r="D576" s="69">
        <v>420</v>
      </c>
      <c r="E576" s="11">
        <f t="shared" si="143"/>
        <v>259.34999999999997</v>
      </c>
      <c r="F576" s="13">
        <f t="shared" si="144"/>
        <v>330</v>
      </c>
      <c r="G576" s="13"/>
      <c r="H576" s="21" t="s">
        <v>692</v>
      </c>
      <c r="I576" s="83" t="s">
        <v>1017</v>
      </c>
    </row>
    <row r="577" spans="1:9" ht="18" x14ac:dyDescent="0.3">
      <c r="A577" s="81" t="s">
        <v>989</v>
      </c>
      <c r="B577" s="83"/>
      <c r="C577" s="71" t="s">
        <v>990</v>
      </c>
      <c r="D577" s="69">
        <v>300</v>
      </c>
      <c r="E577" s="11">
        <f t="shared" si="143"/>
        <v>185.25</v>
      </c>
      <c r="F577" s="13">
        <f t="shared" si="144"/>
        <v>240</v>
      </c>
      <c r="G577" s="13"/>
      <c r="H577" s="21" t="s">
        <v>692</v>
      </c>
      <c r="I577" s="83" t="s">
        <v>1017</v>
      </c>
    </row>
    <row r="578" spans="1:9" ht="18" x14ac:dyDescent="0.3">
      <c r="A578" s="81" t="s">
        <v>991</v>
      </c>
      <c r="B578" s="83"/>
      <c r="C578" s="71" t="s">
        <v>992</v>
      </c>
      <c r="D578" s="69">
        <v>327</v>
      </c>
      <c r="E578" s="11">
        <f t="shared" si="143"/>
        <v>201.92250000000001</v>
      </c>
      <c r="F578" s="13">
        <f t="shared" si="144"/>
        <v>260</v>
      </c>
      <c r="G578" s="13"/>
      <c r="H578" s="21" t="s">
        <v>692</v>
      </c>
      <c r="I578" s="83" t="s">
        <v>1017</v>
      </c>
    </row>
    <row r="579" spans="1:9" ht="18" x14ac:dyDescent="0.3">
      <c r="A579" s="81" t="s">
        <v>993</v>
      </c>
      <c r="B579" s="83"/>
      <c r="C579" s="71" t="s">
        <v>994</v>
      </c>
      <c r="D579" s="69">
        <v>392</v>
      </c>
      <c r="E579" s="11">
        <f t="shared" si="143"/>
        <v>242.06</v>
      </c>
      <c r="F579" s="13">
        <f t="shared" si="144"/>
        <v>310</v>
      </c>
      <c r="G579" s="13"/>
      <c r="H579" s="21" t="s">
        <v>692</v>
      </c>
      <c r="I579" s="83" t="s">
        <v>1017</v>
      </c>
    </row>
    <row r="580" spans="1:9" ht="18" x14ac:dyDescent="0.3">
      <c r="A580" s="81" t="s">
        <v>995</v>
      </c>
      <c r="B580" s="83"/>
      <c r="C580" s="71" t="s">
        <v>996</v>
      </c>
      <c r="D580" s="69">
        <v>505</v>
      </c>
      <c r="E580" s="11">
        <f t="shared" si="143"/>
        <v>311.83749999999998</v>
      </c>
      <c r="F580" s="13">
        <f t="shared" si="144"/>
        <v>390</v>
      </c>
      <c r="G580" s="13"/>
      <c r="H580" s="21" t="s">
        <v>692</v>
      </c>
      <c r="I580" s="83" t="s">
        <v>1017</v>
      </c>
    </row>
    <row r="581" spans="1:9" ht="18" x14ac:dyDescent="0.3">
      <c r="A581" s="73" t="s">
        <v>997</v>
      </c>
      <c r="B581" s="83"/>
      <c r="C581" s="71" t="s">
        <v>998</v>
      </c>
      <c r="D581" s="69">
        <v>33</v>
      </c>
      <c r="E581" s="11">
        <f t="shared" si="143"/>
        <v>20.377499999999998</v>
      </c>
      <c r="F581" s="13">
        <f t="shared" si="144"/>
        <v>30</v>
      </c>
      <c r="G581" s="13"/>
      <c r="H581" s="21" t="s">
        <v>692</v>
      </c>
      <c r="I581" s="83" t="s">
        <v>1017</v>
      </c>
    </row>
    <row r="582" spans="1:9" ht="18" x14ac:dyDescent="0.3">
      <c r="A582" s="73" t="s">
        <v>1043</v>
      </c>
      <c r="B582" s="83"/>
      <c r="C582" s="71" t="s">
        <v>1045</v>
      </c>
      <c r="D582" s="69">
        <v>230</v>
      </c>
      <c r="E582" s="11">
        <f t="shared" si="143"/>
        <v>142.02500000000001</v>
      </c>
      <c r="F582" s="13">
        <f t="shared" si="144"/>
        <v>180</v>
      </c>
      <c r="G582" s="13"/>
      <c r="H582" s="21" t="s">
        <v>692</v>
      </c>
      <c r="I582" s="83" t="s">
        <v>1017</v>
      </c>
    </row>
    <row r="583" spans="1:9" ht="18" x14ac:dyDescent="0.3">
      <c r="A583" s="73" t="s">
        <v>1052</v>
      </c>
      <c r="B583" s="83"/>
      <c r="C583" s="71" t="s">
        <v>1054</v>
      </c>
      <c r="D583" s="69">
        <v>204</v>
      </c>
      <c r="E583" s="11">
        <f t="shared" si="143"/>
        <v>125.96999999999998</v>
      </c>
      <c r="F583" s="13">
        <f t="shared" si="144"/>
        <v>160</v>
      </c>
      <c r="G583" s="13"/>
      <c r="H583" s="21" t="s">
        <v>692</v>
      </c>
      <c r="I583" s="83" t="s">
        <v>1017</v>
      </c>
    </row>
    <row r="584" spans="1:9" ht="18" x14ac:dyDescent="0.3">
      <c r="A584" s="73" t="s">
        <v>1055</v>
      </c>
      <c r="B584" s="83"/>
      <c r="C584" s="71" t="s">
        <v>1056</v>
      </c>
      <c r="D584" s="69">
        <v>189</v>
      </c>
      <c r="E584" s="11">
        <f t="shared" si="143"/>
        <v>116.7075</v>
      </c>
      <c r="F584" s="13">
        <f t="shared" si="144"/>
        <v>150</v>
      </c>
      <c r="G584" s="13"/>
      <c r="H584" s="21" t="s">
        <v>692</v>
      </c>
      <c r="I584" s="83" t="s">
        <v>1017</v>
      </c>
    </row>
    <row r="585" spans="1:9" ht="18" x14ac:dyDescent="0.3">
      <c r="A585" s="73" t="s">
        <v>1049</v>
      </c>
      <c r="B585" s="83"/>
      <c r="C585" s="71" t="s">
        <v>1050</v>
      </c>
      <c r="D585" s="69">
        <v>293</v>
      </c>
      <c r="E585" s="11">
        <f t="shared" si="143"/>
        <v>180.92750000000001</v>
      </c>
      <c r="F585" s="13">
        <f t="shared" si="144"/>
        <v>230</v>
      </c>
      <c r="G585" s="13"/>
      <c r="H585" s="21" t="s">
        <v>692</v>
      </c>
      <c r="I585" s="83" t="s">
        <v>1017</v>
      </c>
    </row>
    <row r="586" spans="1:9" ht="18" x14ac:dyDescent="0.3">
      <c r="A586" s="73" t="s">
        <v>1053</v>
      </c>
      <c r="B586" s="83"/>
      <c r="C586" s="71" t="s">
        <v>1051</v>
      </c>
      <c r="D586" s="69">
        <v>293</v>
      </c>
      <c r="E586" s="11">
        <f t="shared" si="143"/>
        <v>180.92750000000001</v>
      </c>
      <c r="F586" s="13">
        <f t="shared" si="144"/>
        <v>230</v>
      </c>
      <c r="G586" s="13"/>
      <c r="H586" s="21" t="s">
        <v>692</v>
      </c>
      <c r="I586" s="83" t="s">
        <v>1017</v>
      </c>
    </row>
    <row r="587" spans="1:9" ht="18" x14ac:dyDescent="0.3">
      <c r="A587" s="73" t="s">
        <v>1057</v>
      </c>
      <c r="B587" s="83"/>
      <c r="C587" s="71" t="s">
        <v>1058</v>
      </c>
      <c r="D587" s="69">
        <v>162</v>
      </c>
      <c r="E587" s="11">
        <f t="shared" si="143"/>
        <v>100.035</v>
      </c>
      <c r="F587" s="13">
        <f t="shared" si="144"/>
        <v>130</v>
      </c>
      <c r="G587" s="13"/>
      <c r="H587" s="21" t="s">
        <v>692</v>
      </c>
      <c r="I587" s="83" t="s">
        <v>1017</v>
      </c>
    </row>
    <row r="588" spans="1:9" ht="18" x14ac:dyDescent="0.3">
      <c r="A588" s="73" t="s">
        <v>1047</v>
      </c>
      <c r="B588" s="83"/>
      <c r="C588" s="71" t="s">
        <v>1048</v>
      </c>
      <c r="D588" s="69">
        <v>251</v>
      </c>
      <c r="E588" s="11">
        <f t="shared" si="143"/>
        <v>154.99250000000001</v>
      </c>
      <c r="F588" s="13">
        <f t="shared" si="144"/>
        <v>200</v>
      </c>
      <c r="G588" s="13"/>
      <c r="H588" s="21" t="s">
        <v>692</v>
      </c>
      <c r="I588" s="83" t="s">
        <v>1017</v>
      </c>
    </row>
    <row r="589" spans="1:9" ht="18" x14ac:dyDescent="0.3">
      <c r="A589" s="73" t="s">
        <v>1046</v>
      </c>
      <c r="B589" s="83"/>
      <c r="C589" s="71" t="s">
        <v>1044</v>
      </c>
      <c r="D589" s="69">
        <v>204</v>
      </c>
      <c r="E589" s="11">
        <f t="shared" si="143"/>
        <v>125.96999999999998</v>
      </c>
      <c r="F589" s="13">
        <f t="shared" si="144"/>
        <v>160</v>
      </c>
      <c r="G589" s="13"/>
      <c r="H589" s="21" t="s">
        <v>692</v>
      </c>
      <c r="I589" s="83" t="s">
        <v>1017</v>
      </c>
    </row>
    <row r="590" spans="1:9" ht="18" x14ac:dyDescent="0.3">
      <c r="A590" s="74" t="s">
        <v>734</v>
      </c>
      <c r="B590" s="83"/>
      <c r="C590" s="32" t="s">
        <v>735</v>
      </c>
      <c r="D590" s="69">
        <v>136</v>
      </c>
      <c r="E590" s="11">
        <f t="shared" si="143"/>
        <v>83.98</v>
      </c>
      <c r="F590" s="13">
        <f t="shared" si="144"/>
        <v>110</v>
      </c>
      <c r="G590" s="13"/>
      <c r="H590" s="21" t="s">
        <v>692</v>
      </c>
      <c r="I590" s="83" t="s">
        <v>1017</v>
      </c>
    </row>
    <row r="591" spans="1:9" ht="18" x14ac:dyDescent="0.3">
      <c r="A591" s="74" t="s">
        <v>933</v>
      </c>
      <c r="B591" s="83"/>
      <c r="C591" s="70" t="s">
        <v>934</v>
      </c>
      <c r="D591" s="69">
        <v>136</v>
      </c>
      <c r="E591" s="11">
        <f t="shared" si="143"/>
        <v>83.98</v>
      </c>
      <c r="F591" s="13">
        <f t="shared" si="144"/>
        <v>110</v>
      </c>
      <c r="G591" s="13"/>
      <c r="H591" s="21" t="s">
        <v>692</v>
      </c>
      <c r="I591" s="83" t="s">
        <v>1017</v>
      </c>
    </row>
    <row r="592" spans="1:9" ht="18" x14ac:dyDescent="0.3">
      <c r="A592" s="74" t="s">
        <v>999</v>
      </c>
      <c r="B592" s="83"/>
      <c r="C592" s="70" t="s">
        <v>1000</v>
      </c>
      <c r="D592" s="69">
        <v>136</v>
      </c>
      <c r="E592" s="11">
        <f t="shared" si="143"/>
        <v>83.98</v>
      </c>
      <c r="F592" s="13">
        <f t="shared" si="144"/>
        <v>110</v>
      </c>
      <c r="G592" s="13"/>
      <c r="H592" s="21" t="s">
        <v>692</v>
      </c>
      <c r="I592" s="83" t="s">
        <v>1017</v>
      </c>
    </row>
    <row r="593" spans="1:9" ht="18" x14ac:dyDescent="0.3">
      <c r="A593" s="73" t="s">
        <v>1001</v>
      </c>
      <c r="B593" s="83"/>
      <c r="C593" s="71" t="s">
        <v>1002</v>
      </c>
      <c r="D593" s="69">
        <v>156</v>
      </c>
      <c r="E593" s="11">
        <f t="shared" si="143"/>
        <v>96.33</v>
      </c>
      <c r="F593" s="13">
        <f t="shared" si="144"/>
        <v>130</v>
      </c>
      <c r="G593" s="13"/>
      <c r="H593" s="21" t="s">
        <v>692</v>
      </c>
      <c r="I593" s="83" t="s">
        <v>1017</v>
      </c>
    </row>
    <row r="594" spans="1:9" ht="18" x14ac:dyDescent="0.3">
      <c r="A594" s="73" t="s">
        <v>1003</v>
      </c>
      <c r="B594" s="83"/>
      <c r="C594" s="71" t="s">
        <v>1004</v>
      </c>
      <c r="D594" s="69">
        <v>55</v>
      </c>
      <c r="E594" s="11">
        <f t="shared" si="143"/>
        <v>33.962499999999999</v>
      </c>
      <c r="F594" s="13">
        <f t="shared" si="144"/>
        <v>50</v>
      </c>
      <c r="G594" s="13"/>
      <c r="H594" s="21" t="s">
        <v>692</v>
      </c>
      <c r="I594" s="83" t="s">
        <v>1017</v>
      </c>
    </row>
    <row r="595" spans="1:9" ht="18" x14ac:dyDescent="0.3">
      <c r="A595" s="76" t="s">
        <v>1005</v>
      </c>
      <c r="B595" s="83"/>
      <c r="C595" s="71" t="s">
        <v>1006</v>
      </c>
      <c r="D595" s="69">
        <v>314</v>
      </c>
      <c r="E595" s="11">
        <f t="shared" si="143"/>
        <v>193.89499999999998</v>
      </c>
      <c r="F595" s="13">
        <f t="shared" si="144"/>
        <v>250</v>
      </c>
      <c r="G595" s="13"/>
      <c r="H595" s="21" t="s">
        <v>692</v>
      </c>
      <c r="I595" s="83" t="s">
        <v>1017</v>
      </c>
    </row>
    <row r="596" spans="1:9" ht="18" x14ac:dyDescent="0.3">
      <c r="A596" s="73" t="s">
        <v>1007</v>
      </c>
      <c r="B596" s="83"/>
      <c r="C596" s="71" t="s">
        <v>1008</v>
      </c>
      <c r="D596" s="69">
        <v>6</v>
      </c>
      <c r="E596" s="11">
        <f t="shared" si="143"/>
        <v>3.7050000000000001</v>
      </c>
      <c r="F596" s="13">
        <f t="shared" si="144"/>
        <v>10</v>
      </c>
      <c r="G596" s="13"/>
      <c r="H596" s="21" t="s">
        <v>692</v>
      </c>
      <c r="I596" s="83" t="s">
        <v>1017</v>
      </c>
    </row>
    <row r="597" spans="1:9" ht="18" x14ac:dyDescent="0.3">
      <c r="A597" s="73" t="s">
        <v>963</v>
      </c>
      <c r="B597" s="83"/>
      <c r="C597" s="71" t="s">
        <v>1009</v>
      </c>
      <c r="D597" s="69">
        <v>59</v>
      </c>
      <c r="E597" s="11">
        <f t="shared" si="143"/>
        <v>36.432499999999997</v>
      </c>
      <c r="F597" s="13">
        <f t="shared" si="144"/>
        <v>50</v>
      </c>
      <c r="G597" s="13"/>
      <c r="H597" s="21" t="s">
        <v>692</v>
      </c>
      <c r="I597" s="83" t="s">
        <v>1017</v>
      </c>
    </row>
    <row r="598" spans="1:9" ht="18" x14ac:dyDescent="0.3">
      <c r="A598" s="73" t="s">
        <v>971</v>
      </c>
      <c r="B598" s="83"/>
      <c r="C598" s="71" t="s">
        <v>972</v>
      </c>
      <c r="D598" s="69">
        <v>68</v>
      </c>
      <c r="E598" s="11">
        <f t="shared" si="143"/>
        <v>41.99</v>
      </c>
      <c r="F598" s="13">
        <f t="shared" si="144"/>
        <v>60</v>
      </c>
      <c r="G598" s="13"/>
      <c r="H598" s="21" t="s">
        <v>692</v>
      </c>
      <c r="I598" s="83" t="s">
        <v>1017</v>
      </c>
    </row>
    <row r="599" spans="1:9" ht="18" x14ac:dyDescent="0.3">
      <c r="A599" s="72" t="s">
        <v>965</v>
      </c>
      <c r="B599" s="83"/>
      <c r="C599" s="71" t="s">
        <v>1010</v>
      </c>
      <c r="D599" s="69">
        <v>122</v>
      </c>
      <c r="E599" s="11">
        <f t="shared" si="143"/>
        <v>75.334999999999994</v>
      </c>
      <c r="F599" s="13">
        <f t="shared" si="144"/>
        <v>100</v>
      </c>
      <c r="G599" s="13"/>
      <c r="H599" s="21" t="s">
        <v>692</v>
      </c>
      <c r="I599" s="83" t="s">
        <v>1017</v>
      </c>
    </row>
    <row r="600" spans="1:9" ht="18" x14ac:dyDescent="0.3">
      <c r="A600" s="72" t="s">
        <v>969</v>
      </c>
      <c r="B600" s="83"/>
      <c r="C600" s="71" t="s">
        <v>970</v>
      </c>
      <c r="D600" s="69">
        <v>31</v>
      </c>
      <c r="E600" s="11">
        <f t="shared" si="143"/>
        <v>19.142500000000002</v>
      </c>
      <c r="F600" s="13">
        <f t="shared" si="144"/>
        <v>30</v>
      </c>
      <c r="G600" s="13"/>
      <c r="H600" s="21" t="s">
        <v>692</v>
      </c>
      <c r="I600" s="83" t="s">
        <v>1017</v>
      </c>
    </row>
    <row r="601" spans="1:9" ht="18" x14ac:dyDescent="0.3">
      <c r="A601" s="73" t="s">
        <v>1011</v>
      </c>
      <c r="B601" s="83"/>
      <c r="C601" s="71" t="s">
        <v>1012</v>
      </c>
      <c r="D601" s="69">
        <v>335</v>
      </c>
      <c r="E601" s="11">
        <f t="shared" si="143"/>
        <v>206.86249999999998</v>
      </c>
      <c r="F601" s="13">
        <f t="shared" si="144"/>
        <v>260</v>
      </c>
      <c r="G601" s="13"/>
      <c r="H601" s="21" t="s">
        <v>692</v>
      </c>
      <c r="I601" s="83" t="s">
        <v>1017</v>
      </c>
    </row>
    <row r="602" spans="1:9" ht="18" x14ac:dyDescent="0.3">
      <c r="A602" s="73" t="s">
        <v>1013</v>
      </c>
      <c r="B602" s="83"/>
      <c r="C602" s="71" t="s">
        <v>1014</v>
      </c>
      <c r="D602" s="69">
        <v>339</v>
      </c>
      <c r="E602" s="11">
        <f t="shared" si="143"/>
        <v>209.33249999999998</v>
      </c>
      <c r="F602" s="13">
        <f t="shared" si="144"/>
        <v>270</v>
      </c>
      <c r="G602" s="13"/>
      <c r="H602" s="21" t="s">
        <v>692</v>
      </c>
      <c r="I602" s="83" t="s">
        <v>1017</v>
      </c>
    </row>
    <row r="603" spans="1:9" ht="18" x14ac:dyDescent="0.3">
      <c r="A603" s="73" t="s">
        <v>981</v>
      </c>
      <c r="B603" s="83"/>
      <c r="C603" s="71" t="s">
        <v>982</v>
      </c>
      <c r="D603" s="69">
        <v>15</v>
      </c>
      <c r="E603" s="11">
        <f t="shared" si="143"/>
        <v>9.2624999999999993</v>
      </c>
      <c r="F603" s="13">
        <f t="shared" si="144"/>
        <v>20</v>
      </c>
      <c r="G603" s="13"/>
      <c r="H603" s="21" t="s">
        <v>692</v>
      </c>
      <c r="I603" s="83" t="s">
        <v>1017</v>
      </c>
    </row>
    <row r="604" spans="1:9" ht="18" x14ac:dyDescent="0.3">
      <c r="A604" s="73" t="s">
        <v>1015</v>
      </c>
      <c r="B604" s="83"/>
      <c r="C604" s="71" t="s">
        <v>1016</v>
      </c>
      <c r="D604" s="69">
        <v>38</v>
      </c>
      <c r="E604" s="11">
        <f t="shared" si="143"/>
        <v>23.465</v>
      </c>
      <c r="F604" s="13">
        <f t="shared" si="144"/>
        <v>30</v>
      </c>
      <c r="G604" s="13"/>
      <c r="H604" s="21" t="s">
        <v>692</v>
      </c>
      <c r="I604" s="83" t="s">
        <v>1017</v>
      </c>
    </row>
    <row r="605" spans="1:9" ht="18" x14ac:dyDescent="0.3">
      <c r="A605" s="73" t="s">
        <v>997</v>
      </c>
      <c r="B605" s="83"/>
      <c r="C605" s="71" t="s">
        <v>998</v>
      </c>
      <c r="D605" s="69">
        <v>33</v>
      </c>
      <c r="E605" s="11">
        <f t="shared" si="143"/>
        <v>20.377499999999998</v>
      </c>
      <c r="F605" s="13">
        <f t="shared" si="144"/>
        <v>30</v>
      </c>
      <c r="G605" s="13"/>
      <c r="H605" s="21" t="s">
        <v>692</v>
      </c>
      <c r="I605" s="83" t="s">
        <v>1017</v>
      </c>
    </row>
    <row r="606" spans="1:9" ht="18" x14ac:dyDescent="0.3">
      <c r="B606" s="94"/>
      <c r="C606" s="95" t="s">
        <v>1036</v>
      </c>
      <c r="D606" s="69">
        <v>33225</v>
      </c>
      <c r="E606" s="11">
        <f t="shared" ref="E606:E611" si="145">D606*0.73*0.95*0.97</f>
        <v>22350.291374999997</v>
      </c>
      <c r="F606" s="13">
        <f t="shared" ref="F606:F609" si="146">ROUNDUP((E606*1.15),-1)</f>
        <v>25710</v>
      </c>
      <c r="G606" s="13">
        <v>680</v>
      </c>
      <c r="H606" s="21" t="s">
        <v>1068</v>
      </c>
      <c r="I606" s="83" t="s">
        <v>10</v>
      </c>
    </row>
    <row r="607" spans="1:9" ht="18" x14ac:dyDescent="0.3">
      <c r="B607" s="94"/>
      <c r="C607" s="95" t="s">
        <v>1037</v>
      </c>
      <c r="D607" s="69">
        <v>23413</v>
      </c>
      <c r="E607" s="11">
        <f t="shared" si="145"/>
        <v>15749.808034999996</v>
      </c>
      <c r="F607" s="13">
        <f t="shared" si="146"/>
        <v>18120</v>
      </c>
      <c r="G607" s="13">
        <v>680</v>
      </c>
      <c r="H607" s="21" t="s">
        <v>1068</v>
      </c>
      <c r="I607" s="83" t="s">
        <v>10</v>
      </c>
    </row>
    <row r="608" spans="1:9" ht="18" x14ac:dyDescent="0.3">
      <c r="B608" s="94"/>
      <c r="C608" s="95" t="s">
        <v>1038</v>
      </c>
      <c r="D608" s="69">
        <v>17776</v>
      </c>
      <c r="E608" s="11">
        <f t="shared" si="145"/>
        <v>11957.826319999998</v>
      </c>
      <c r="F608" s="13">
        <f t="shared" si="146"/>
        <v>13760</v>
      </c>
      <c r="G608" s="13">
        <v>680</v>
      </c>
      <c r="H608" s="21" t="s">
        <v>1068</v>
      </c>
      <c r="I608" s="83" t="s">
        <v>10</v>
      </c>
    </row>
    <row r="609" spans="2:9" ht="18" x14ac:dyDescent="0.3">
      <c r="B609" s="94"/>
      <c r="C609" s="95" t="s">
        <v>1039</v>
      </c>
      <c r="D609" s="69">
        <v>18043</v>
      </c>
      <c r="E609" s="11">
        <f t="shared" si="145"/>
        <v>12137.435884999997</v>
      </c>
      <c r="F609" s="13">
        <f t="shared" si="146"/>
        <v>13960</v>
      </c>
      <c r="G609" s="13">
        <v>470</v>
      </c>
      <c r="H609" s="21" t="s">
        <v>1068</v>
      </c>
      <c r="I609" s="83" t="s">
        <v>1069</v>
      </c>
    </row>
    <row r="610" spans="2:9" ht="18" x14ac:dyDescent="0.3">
      <c r="B610" s="94"/>
      <c r="C610" s="95" t="s">
        <v>1040</v>
      </c>
      <c r="D610" s="69">
        <v>1544</v>
      </c>
      <c r="E610" s="11">
        <f t="shared" si="145"/>
        <v>1038.6410799999999</v>
      </c>
      <c r="F610" s="13">
        <f t="shared" ref="F610:F613" si="147">ROUNDUP((E610*1.25),-1)</f>
        <v>1300</v>
      </c>
      <c r="G610" s="13">
        <v>315</v>
      </c>
      <c r="H610" s="21" t="s">
        <v>1068</v>
      </c>
      <c r="I610" s="83" t="s">
        <v>1070</v>
      </c>
    </row>
    <row r="611" spans="2:9" ht="18" x14ac:dyDescent="0.3">
      <c r="B611" s="94"/>
      <c r="C611" s="95" t="s">
        <v>1041</v>
      </c>
      <c r="D611" s="69">
        <v>3099</v>
      </c>
      <c r="E611" s="11">
        <f t="shared" si="145"/>
        <v>2084.6818050000002</v>
      </c>
      <c r="F611" s="13">
        <f t="shared" si="147"/>
        <v>2610</v>
      </c>
      <c r="G611" s="13">
        <v>315</v>
      </c>
      <c r="H611" s="21" t="s">
        <v>692</v>
      </c>
      <c r="I611" s="83" t="s">
        <v>1071</v>
      </c>
    </row>
    <row r="612" spans="2:9" ht="18" x14ac:dyDescent="0.3">
      <c r="B612" s="94"/>
      <c r="C612" s="95" t="s">
        <v>1042</v>
      </c>
      <c r="D612" s="69">
        <v>6354</v>
      </c>
      <c r="E612" s="11">
        <f>D612*0.65*0.95</f>
        <v>3923.5950000000003</v>
      </c>
      <c r="F612" s="13">
        <f t="shared" si="147"/>
        <v>4910</v>
      </c>
      <c r="G612" s="13">
        <v>160</v>
      </c>
      <c r="H612" s="21" t="s">
        <v>692</v>
      </c>
      <c r="I612" s="83" t="s">
        <v>1070</v>
      </c>
    </row>
    <row r="613" spans="2:9" ht="18" x14ac:dyDescent="0.3">
      <c r="B613" s="94"/>
      <c r="C613" s="95" t="s">
        <v>1062</v>
      </c>
      <c r="D613" s="69">
        <v>4384</v>
      </c>
      <c r="E613" s="11">
        <f>D613*0.65*0.95</f>
        <v>2707.12</v>
      </c>
      <c r="F613" s="13">
        <f t="shared" si="147"/>
        <v>3390</v>
      </c>
      <c r="G613" s="13">
        <v>160</v>
      </c>
      <c r="H613" s="21" t="s">
        <v>692</v>
      </c>
      <c r="I613" s="83" t="s">
        <v>1070</v>
      </c>
    </row>
    <row r="614" spans="2:9" ht="18" x14ac:dyDescent="0.3">
      <c r="B614" s="94"/>
      <c r="C614" s="95" t="s">
        <v>1061</v>
      </c>
      <c r="D614" s="69">
        <v>2666</v>
      </c>
      <c r="E614" s="11">
        <f t="shared" ref="E614:E619" si="148">D614*0.65*0.95</f>
        <v>1646.2550000000001</v>
      </c>
      <c r="F614" s="13">
        <f t="shared" ref="F614:F619" si="149">ROUNDUP((E614*1.25),-1)</f>
        <v>2060</v>
      </c>
      <c r="G614" s="13">
        <v>160</v>
      </c>
      <c r="H614" s="21" t="s">
        <v>692</v>
      </c>
      <c r="I614" s="83" t="s">
        <v>1070</v>
      </c>
    </row>
    <row r="615" spans="2:9" ht="18" x14ac:dyDescent="0.3">
      <c r="B615" s="94"/>
      <c r="C615" s="95" t="s">
        <v>1063</v>
      </c>
      <c r="D615" s="69">
        <v>6556</v>
      </c>
      <c r="E615" s="11">
        <f t="shared" si="148"/>
        <v>4048.3300000000004</v>
      </c>
      <c r="F615" s="13">
        <f t="shared" si="149"/>
        <v>5070</v>
      </c>
      <c r="G615" s="13">
        <v>160</v>
      </c>
      <c r="H615" s="21" t="s">
        <v>692</v>
      </c>
      <c r="I615" s="83" t="s">
        <v>1072</v>
      </c>
    </row>
    <row r="616" spans="2:9" ht="18" x14ac:dyDescent="0.3">
      <c r="B616" s="94"/>
      <c r="C616" s="95" t="s">
        <v>1064</v>
      </c>
      <c r="D616" s="69">
        <v>2989</v>
      </c>
      <c r="E616" s="11">
        <f t="shared" si="148"/>
        <v>1845.7075</v>
      </c>
      <c r="F616" s="13">
        <f t="shared" si="149"/>
        <v>2310</v>
      </c>
      <c r="G616" s="13">
        <v>160</v>
      </c>
      <c r="H616" s="21" t="s">
        <v>692</v>
      </c>
      <c r="I616" s="83" t="s">
        <v>1070</v>
      </c>
    </row>
    <row r="617" spans="2:9" ht="18" x14ac:dyDescent="0.3">
      <c r="B617" s="94"/>
      <c r="C617" s="95" t="s">
        <v>1065</v>
      </c>
      <c r="D617" s="69">
        <v>4619</v>
      </c>
      <c r="E617" s="11">
        <f t="shared" si="148"/>
        <v>2852.2324999999996</v>
      </c>
      <c r="F617" s="13">
        <f t="shared" si="149"/>
        <v>3570</v>
      </c>
      <c r="G617" s="13">
        <v>160</v>
      </c>
      <c r="H617" s="21" t="s">
        <v>692</v>
      </c>
      <c r="I617" s="83" t="s">
        <v>1070</v>
      </c>
    </row>
    <row r="618" spans="2:9" ht="18" x14ac:dyDescent="0.3">
      <c r="B618" s="94"/>
      <c r="C618" s="95" t="s">
        <v>1066</v>
      </c>
      <c r="D618" s="69">
        <v>2122</v>
      </c>
      <c r="E618" s="11">
        <f t="shared" si="148"/>
        <v>1310.3349999999998</v>
      </c>
      <c r="F618" s="13">
        <f t="shared" si="149"/>
        <v>1640</v>
      </c>
      <c r="G618" s="13">
        <v>90</v>
      </c>
      <c r="H618" s="21" t="s">
        <v>692</v>
      </c>
      <c r="I618" s="83" t="s">
        <v>1018</v>
      </c>
    </row>
    <row r="619" spans="2:9" ht="18" x14ac:dyDescent="0.3">
      <c r="B619" s="94"/>
      <c r="C619" s="95" t="s">
        <v>1067</v>
      </c>
      <c r="D619" s="69">
        <v>4783</v>
      </c>
      <c r="E619" s="11">
        <f t="shared" si="148"/>
        <v>2953.5025000000001</v>
      </c>
      <c r="F619" s="13">
        <f t="shared" si="149"/>
        <v>3700</v>
      </c>
      <c r="G619" s="13">
        <v>160</v>
      </c>
      <c r="H619" s="21" t="s">
        <v>692</v>
      </c>
      <c r="I619" s="83" t="s">
        <v>1018</v>
      </c>
    </row>
    <row r="620" spans="2:9" ht="18" x14ac:dyDescent="0.3">
      <c r="B620" s="94"/>
      <c r="C620" s="95"/>
      <c r="D620" s="69"/>
      <c r="E620" s="11"/>
      <c r="F620" s="13"/>
      <c r="G620" s="13"/>
      <c r="H620" s="83"/>
      <c r="I620" s="83"/>
    </row>
  </sheetData>
  <conditionalFormatting sqref="C429:C442 A429:A498 C444:C498 A591 C591 A599:A600 C599:C600 A602:A605 A594:A596 C594:C596 A575:A589 A569:A573 A560:A567 D561:D605 C504:C555 A504:A555 C560:C589 C602:C605 C606:D615">
    <cfRule type="expression" dxfId="16" priority="76">
      <formula>NOT(MOD(ROW(),2))</formula>
    </cfRule>
  </conditionalFormatting>
  <conditionalFormatting sqref="C443">
    <cfRule type="expression" dxfId="15" priority="77">
      <formula>NOT(MOD(ROW(),2))</formula>
    </cfRule>
  </conditionalFormatting>
  <conditionalFormatting sqref="C590">
    <cfRule type="expression" dxfId="14" priority="62">
      <formula>NOT(MOD(ROW(),2))</formula>
    </cfRule>
  </conditionalFormatting>
  <conditionalFormatting sqref="A499:A503">
    <cfRule type="expression" dxfId="13" priority="43">
      <formula>NOT(MOD(ROW(),2))</formula>
    </cfRule>
  </conditionalFormatting>
  <conditionalFormatting sqref="C499:C503">
    <cfRule type="expression" dxfId="12" priority="42">
      <formula>NOT(MOD(ROW(),2))</formula>
    </cfRule>
  </conditionalFormatting>
  <conditionalFormatting sqref="C556:C559">
    <cfRule type="expression" dxfId="11" priority="27">
      <formula>NOT(MOD(ROW(),2))</formula>
    </cfRule>
  </conditionalFormatting>
  <conditionalFormatting sqref="A556:A559">
    <cfRule type="expression" dxfId="10" priority="26">
      <formula>NOT(MOD(ROW(),2))</formula>
    </cfRule>
  </conditionalFormatting>
  <conditionalFormatting sqref="A593 C592 A590 A568">
    <cfRule type="expression" dxfId="9" priority="24">
      <formula>NOT(MOD(ROW(),2))</formula>
    </cfRule>
  </conditionalFormatting>
  <conditionalFormatting sqref="A574">
    <cfRule type="expression" dxfId="8" priority="16">
      <formula>NOT(MOD(ROW(),2))</formula>
    </cfRule>
  </conditionalFormatting>
  <conditionalFormatting sqref="A601 A597:A598">
    <cfRule type="expression" dxfId="7" priority="14">
      <formula>NOT(MOD(ROW(),2))</formula>
    </cfRule>
  </conditionalFormatting>
  <conditionalFormatting sqref="C601">
    <cfRule type="expression" dxfId="6" priority="10">
      <formula>NOT(MOD(ROW(),2))</formula>
    </cfRule>
  </conditionalFormatting>
  <conditionalFormatting sqref="C593">
    <cfRule type="expression" dxfId="5" priority="8">
      <formula>NOT(MOD(ROW(),2))</formula>
    </cfRule>
  </conditionalFormatting>
  <conditionalFormatting sqref="C597">
    <cfRule type="expression" dxfId="4" priority="7">
      <formula>NOT(MOD(ROW(),2))</formula>
    </cfRule>
  </conditionalFormatting>
  <conditionalFormatting sqref="C598">
    <cfRule type="expression" dxfId="3" priority="6">
      <formula>NOT(MOD(ROW(),2))</formula>
    </cfRule>
  </conditionalFormatting>
  <conditionalFormatting sqref="A592">
    <cfRule type="expression" dxfId="2" priority="5">
      <formula>NOT(MOD(ROW(),2))</formula>
    </cfRule>
  </conditionalFormatting>
  <conditionalFormatting sqref="C616:C620">
    <cfRule type="expression" dxfId="1" priority="2">
      <formula>NOT(MOD(ROW(),2))</formula>
    </cfRule>
  </conditionalFormatting>
  <conditionalFormatting sqref="D616:D620">
    <cfRule type="expression" dxfId="0" priority="1">
      <formula>NOT(MOD(ROW(),2))</formula>
    </cfRule>
  </conditionalFormatting>
  <pageMargins left="0.7" right="0.7" top="0.75" bottom="0.75" header="0.3" footer="0.3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Aurélien PAPILLON</dc:creator>
  <cp:lastModifiedBy>Aurélien PAPILLON</cp:lastModifiedBy>
  <dcterms:created xsi:type="dcterms:W3CDTF">2026-09-08T10:42:28Z</dcterms:created>
  <dcterms:modified xsi:type="dcterms:W3CDTF">2026-10-01T07:52:51Z</dcterms:modified>
</cp:coreProperties>
</file>